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Scenario_Table" sheetId="2" r:id="rId2"/>
    <sheet name="Engine" sheetId="3" r:id="rId3"/>
    <sheet name="Working_Capital" sheetId="4" r:id="rId4"/>
    <sheet name="Sensitivity" sheetId="5" r:id="rId5"/>
    <sheet name="Checks" sheetId="6" r:id="rId6"/>
  </sheets>
  <definedNames>
    <definedName name="AvgSalary">Inputs!$B$10</definedName>
    <definedName name="BaseRevenue">Inputs!$B$2</definedName>
    <definedName name="COGS_pct">Inputs!$B$5</definedName>
    <definedName name="DPO">Inputs!$B$14</definedName>
    <definedName name="DSI">Inputs!$B$13</definedName>
    <definedName name="DSO">Inputs!$B$12</definedName>
    <definedName name="Fixed_Opex">Inputs!$B$6</definedName>
    <definedName name="Headcount_Start">Inputs!$B$8</definedName>
    <definedName name="HiringRate">Inputs!$B$9</definedName>
    <definedName name="OpEx_Var_pct">Inputs!$B$7</definedName>
    <definedName name="PriceGrowth">Inputs!$B$4</definedName>
    <definedName name="Scenario_Table">Scenario_Table!$A$2:$E$4</definedName>
    <definedName name="ScenarioSelector">Inputs!$B$15</definedName>
    <definedName name="Seasonality">Inputs!$A$20:$L$20</definedName>
    <definedName name="TaxRate">Inputs!$B$11</definedName>
    <definedName name="VolumeGrowth">Inputs!$B$3</definedName>
  </definedNames>
  <calcPr calcId="124519" fullCalcOnLoad="1"/>
</workbook>
</file>

<file path=xl/sharedStrings.xml><?xml version="1.0" encoding="utf-8"?>
<sst xmlns="http://schemas.openxmlformats.org/spreadsheetml/2006/main" count="148" uniqueCount="104">
  <si>
    <t>Driver Name</t>
  </si>
  <si>
    <t>Value</t>
  </si>
  <si>
    <t>Named Range</t>
  </si>
  <si>
    <t>Base Monthly Revenue</t>
  </si>
  <si>
    <t>BaseRevenue</t>
  </si>
  <si>
    <t>Volume Growth (Monthly)</t>
  </si>
  <si>
    <t>VolumeGrowth</t>
  </si>
  <si>
    <t>Price Growth (Monthly)</t>
  </si>
  <si>
    <t>PriceGrowth</t>
  </si>
  <si>
    <t>COGS %</t>
  </si>
  <si>
    <t>COGS_pct</t>
  </si>
  <si>
    <t>Fixed OpEx (Monthly)</t>
  </si>
  <si>
    <t>Fixed_Opex</t>
  </si>
  <si>
    <t>OpEx Var %</t>
  </si>
  <si>
    <t>OpEx_Var_pct</t>
  </si>
  <si>
    <t>Headcount Start</t>
  </si>
  <si>
    <t>Headcount_Start</t>
  </si>
  <si>
    <t>Hiring Rate</t>
  </si>
  <si>
    <t>HiringRate</t>
  </si>
  <si>
    <t>Average Salary</t>
  </si>
  <si>
    <t>AvgSalary</t>
  </si>
  <si>
    <t>Tax Rate</t>
  </si>
  <si>
    <t>TaxRate</t>
  </si>
  <si>
    <t>DSO (Days Sales Outstanding)</t>
  </si>
  <si>
    <t>DSO</t>
  </si>
  <si>
    <t>DSI (Days Sales Inventory)</t>
  </si>
  <si>
    <t>DSI</t>
  </si>
  <si>
    <t>DPO (Days Payables Outstanding)</t>
  </si>
  <si>
    <t>DPO</t>
  </si>
  <si>
    <t>Scenario Selector</t>
  </si>
  <si>
    <t>Base</t>
  </si>
  <si>
    <t>ScenarioSelector</t>
  </si>
  <si>
    <t>Seasonality Table</t>
  </si>
  <si>
    <t>Scenario</t>
  </si>
  <si>
    <t>Revenue_Mult</t>
  </si>
  <si>
    <t>COGS_Mult</t>
  </si>
  <si>
    <t>Volume_Growth_Adj</t>
  </si>
  <si>
    <t>Price_Growth_Adj</t>
  </si>
  <si>
    <t>Best</t>
  </si>
  <si>
    <t>Worst</t>
  </si>
  <si>
    <t>Date</t>
  </si>
  <si>
    <t>MonthIdx</t>
  </si>
  <si>
    <t>Revenue</t>
  </si>
  <si>
    <t>COGS</t>
  </si>
  <si>
    <t>OpEx</t>
  </si>
  <si>
    <t>Payroll</t>
  </si>
  <si>
    <t>Headcount</t>
  </si>
  <si>
    <t>EBITDA</t>
  </si>
  <si>
    <t>Capex</t>
  </si>
  <si>
    <t>Depreciation</t>
  </si>
  <si>
    <t>EBIT</t>
  </si>
  <si>
    <t>Tax</t>
  </si>
  <si>
    <t>NetIncome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</si>
  <si>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</si>
  <si>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</si>
  <si>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</si>
  <si>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</si>
  <si>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</si>
  <si>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</si>
  <si>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</si>
  <si>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</si>
  <si>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</si>
  <si>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</si>
  <si>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</si>
  <si>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</si>
  <si>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</si>
  <si>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</si>
  <si>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</si>
  <si>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</si>
  <si>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2026-05-01</t>
  </si>
  <si>
    <t>2026-06-01</t>
  </si>
  <si>
    <t>2026-07-01</t>
  </si>
  <si>
    <t>2026-08-01</t>
  </si>
  <si>
    <t>2026-09-01</t>
  </si>
  <si>
    <t>2026-10-01</t>
  </si>
  <si>
    <t>2026-11-01</t>
  </si>
  <si>
    <t>2026-12-01</t>
  </si>
  <si>
    <t>2027-01-01</t>
  </si>
  <si>
    <t>2027-02-01</t>
  </si>
  <si>
    <t>2027-03-01</t>
  </si>
  <si>
    <t>2027-04-01</t>
  </si>
  <si>
    <t>2027-05-01</t>
  </si>
  <si>
    <t>2027-06-01</t>
  </si>
  <si>
    <t>2027-07-01</t>
  </si>
  <si>
    <t>2027-08-01</t>
  </si>
  <si>
    <t>2027-09-01</t>
  </si>
  <si>
    <t>2027-10-01</t>
  </si>
  <si>
    <t>2027-11-01</t>
  </si>
  <si>
    <t>2027-12-01</t>
  </si>
  <si>
    <t>AR</t>
  </si>
  <si>
    <t>Inventory</t>
  </si>
  <si>
    <t>AP</t>
  </si>
  <si>
    <t>NWC</t>
  </si>
  <si>
    <t>Delta_NWC</t>
  </si>
  <si>
    <t>CashFlow</t>
  </si>
  <si>
    <t>CashBalance</t>
  </si>
  <si>
    <t>Sensitivity: Price Change Impact on Total Revenue</t>
  </si>
  <si>
    <t>Price Shift</t>
  </si>
  <si>
    <t>Total Revenue</t>
  </si>
  <si>
    <t>Check Name</t>
  </si>
  <si>
    <t>Status</t>
  </si>
  <si>
    <t>Revenue Positive</t>
  </si>
  <si>
    <t>Margins &lt; 100%</t>
  </si>
  <si>
    <t>Cash Balance Positive</t>
  </si>
</sst>
</file>

<file path=xl/styles.xml><?xml version="1.0" encoding="utf-8"?>
<styleSheet xmlns="http://schemas.openxmlformats.org/spreadsheetml/2006/main">
  <numFmts count="3">
    <numFmt numFmtId="164" formatCode="$#,##0"/>
    <numFmt numFmtId="165" formatCode="0.00%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7F0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"/>
  <sheetViews>
    <sheetView tabSelected="1" workbookViewId="0"/>
  </sheetViews>
  <sheetFormatPr defaultRowHeight="15"/>
  <cols>
    <col min="1" max="1" width="30.7109375" customWidth="1"/>
    <col min="2" max="2" width="1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>
        <v>150000</v>
      </c>
      <c r="C2" t="s">
        <v>4</v>
      </c>
    </row>
    <row r="3" spans="1:3">
      <c r="A3" t="s">
        <v>5</v>
      </c>
      <c r="B3" s="3">
        <v>0.02</v>
      </c>
      <c r="C3" t="s">
        <v>6</v>
      </c>
    </row>
    <row r="4" spans="1:3">
      <c r="A4" t="s">
        <v>7</v>
      </c>
      <c r="B4" s="3">
        <v>0.005</v>
      </c>
      <c r="C4" t="s">
        <v>8</v>
      </c>
    </row>
    <row r="5" spans="1:3">
      <c r="A5" t="s">
        <v>9</v>
      </c>
      <c r="B5" s="3">
        <v>0.4</v>
      </c>
      <c r="C5" t="s">
        <v>10</v>
      </c>
    </row>
    <row r="6" spans="1:3">
      <c r="A6" t="s">
        <v>11</v>
      </c>
      <c r="B6" s="2">
        <v>45000</v>
      </c>
      <c r="C6" t="s">
        <v>12</v>
      </c>
    </row>
    <row r="7" spans="1:3">
      <c r="A7" t="s">
        <v>13</v>
      </c>
      <c r="B7" s="3">
        <v>0.1</v>
      </c>
      <c r="C7" t="s">
        <v>14</v>
      </c>
    </row>
    <row r="8" spans="1:3">
      <c r="A8" t="s">
        <v>15</v>
      </c>
      <c r="B8" s="4">
        <v>12</v>
      </c>
      <c r="C8" t="s">
        <v>16</v>
      </c>
    </row>
    <row r="9" spans="1:3">
      <c r="A9" t="s">
        <v>17</v>
      </c>
      <c r="B9" s="4">
        <v>0.2</v>
      </c>
      <c r="C9" t="s">
        <v>18</v>
      </c>
    </row>
    <row r="10" spans="1:3">
      <c r="A10" t="s">
        <v>19</v>
      </c>
      <c r="B10" s="2">
        <v>6000</v>
      </c>
      <c r="C10" t="s">
        <v>20</v>
      </c>
    </row>
    <row r="11" spans="1:3">
      <c r="A11" t="s">
        <v>21</v>
      </c>
      <c r="B11" s="3">
        <v>0.25</v>
      </c>
      <c r="C11" t="s">
        <v>22</v>
      </c>
    </row>
    <row r="12" spans="1:3">
      <c r="A12" t="s">
        <v>23</v>
      </c>
      <c r="B12" s="4">
        <v>45</v>
      </c>
      <c r="C12" t="s">
        <v>24</v>
      </c>
    </row>
    <row r="13" spans="1:3">
      <c r="A13" t="s">
        <v>25</v>
      </c>
      <c r="B13" s="4">
        <v>30</v>
      </c>
      <c r="C13" t="s">
        <v>26</v>
      </c>
    </row>
    <row r="14" spans="1:3">
      <c r="A14" t="s">
        <v>27</v>
      </c>
      <c r="B14" s="4">
        <v>30</v>
      </c>
      <c r="C14" t="s">
        <v>28</v>
      </c>
    </row>
    <row r="15" spans="1:3">
      <c r="A15" t="s">
        <v>29</v>
      </c>
      <c r="B15" s="5" t="s">
        <v>30</v>
      </c>
      <c r="C15" t="s">
        <v>31</v>
      </c>
    </row>
    <row r="18" spans="1:12">
      <c r="A18" s="1" t="s">
        <v>32</v>
      </c>
    </row>
    <row r="19" spans="1:12">
      <c r="A19" s="1">
        <v>1</v>
      </c>
      <c r="B19" s="1">
        <v>2</v>
      </c>
      <c r="C19" s="1">
        <v>3</v>
      </c>
      <c r="D19" s="1">
        <v>4</v>
      </c>
      <c r="E19" s="1">
        <v>5</v>
      </c>
      <c r="F19" s="1">
        <v>6</v>
      </c>
      <c r="G19" s="1">
        <v>7</v>
      </c>
      <c r="H19" s="1">
        <v>8</v>
      </c>
      <c r="I19" s="1">
        <v>9</v>
      </c>
      <c r="J19" s="1">
        <v>10</v>
      </c>
      <c r="K19" s="1">
        <v>11</v>
      </c>
      <c r="L19" s="1">
        <v>12</v>
      </c>
    </row>
    <row r="20" spans="1:12">
      <c r="A20" s="3">
        <v>0.85</v>
      </c>
      <c r="B20" s="3">
        <v>0.85</v>
      </c>
      <c r="C20" s="3">
        <v>0.9</v>
      </c>
      <c r="D20" s="3">
        <v>0.95</v>
      </c>
      <c r="E20" s="3">
        <v>1</v>
      </c>
      <c r="F20" s="3">
        <v>1.05</v>
      </c>
      <c r="G20" s="3">
        <v>1.1</v>
      </c>
      <c r="H20" s="3">
        <v>1.05</v>
      </c>
      <c r="I20" s="3">
        <v>1.1</v>
      </c>
      <c r="J20" s="3">
        <v>1.15</v>
      </c>
      <c r="K20" s="3">
        <v>1.2</v>
      </c>
      <c r="L20" s="3">
        <v>1.4</v>
      </c>
    </row>
  </sheetData>
  <dataValidations count="1">
    <dataValidation type="list" allowBlank="1" showInputMessage="1" showErrorMessage="1" sqref="B15">
      <formula1>"Base,Best,Worst"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>
      <c r="A2" t="s">
        <v>30</v>
      </c>
      <c r="B2">
        <v>1</v>
      </c>
      <c r="C2">
        <v>1</v>
      </c>
      <c r="D2">
        <v>0</v>
      </c>
      <c r="E2">
        <v>0</v>
      </c>
    </row>
    <row r="3" spans="1:5">
      <c r="A3" t="s">
        <v>38</v>
      </c>
      <c r="B3">
        <v>1.15</v>
      </c>
      <c r="C3">
        <v>0.95</v>
      </c>
      <c r="D3">
        <v>0.01</v>
      </c>
      <c r="E3">
        <v>0.005</v>
      </c>
    </row>
    <row r="4" spans="1:5">
      <c r="A4" t="s">
        <v>39</v>
      </c>
      <c r="B4">
        <v>0.85</v>
      </c>
      <c r="C4">
        <v>1.1</v>
      </c>
      <c r="D4">
        <v>-0.01</v>
      </c>
      <c r="E4">
        <v>-0.005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7"/>
  <sheetViews>
    <sheetView workbookViewId="0"/>
  </sheetViews>
  <sheetFormatPr defaultRowHeight="15"/>
  <sheetData>
    <row r="1" spans="1:13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</row>
    <row r="2" spans="1:13">
      <c r="A2" t="s">
        <v>53</v>
      </c>
      <c r="B2">
        <f>MONTH(A2)</f>
        <v>0</v>
      </c>
      <c r="C2" s="2">
        <f>BaseRevenue * ((1 + VolumeGrowth + INDEX(Scenario_Table,MATCH(ScenarioSelector,INDEX(Scenario_Table,,1),0),4))^(ROW()-2)) * ((1 + PriceGrowth + INDEX(Scenario_Table,MATCH(ScenarioSelector,INDEX(Scenario_Table,,1),0),5))^(ROW()-2)) * INDEX(Seasonality, B2) * INDEX(Scenario_Table,MATCH(ScenarioSelector,INDEX(Scenario_Table,,1),0),2)</f>
        <v>0</v>
      </c>
      <c r="D2" s="2">
        <f>C2 * COGS_pct * INDEX(Scenario_Table,MATCH(ScenarioSelector,INDEX(Scenario_Table,,1),0),3)</f>
        <v>0</v>
      </c>
      <c r="E2" s="2">
        <f>Fixed_Opex + (C2 * OpEx_Var_pct) + F2</f>
        <v>0</v>
      </c>
      <c r="F2" s="2">
        <f>G2 * AvgSalary</f>
        <v>0</v>
      </c>
      <c r="G2" s="4">
        <f>Headcount_Start + INT(HiringRate * (ROW()-2))</f>
        <v>0</v>
      </c>
      <c r="H2" s="2">
        <f>C2 - D2 - E2</f>
        <v>0</v>
      </c>
      <c r="I2" s="2">
        <v>0</v>
      </c>
      <c r="J2" s="2">
        <v>0</v>
      </c>
      <c r="K2" s="2">
        <f>H2 - J2</f>
        <v>0</v>
      </c>
      <c r="L2" s="2">
        <f>MAX(0, K2 * TaxRate)</f>
        <v>0</v>
      </c>
      <c r="M2" s="2">
        <f>K2 - L2</f>
        <v>0</v>
      </c>
    </row>
    <row r="3" spans="1:13">
      <c r="A3" t="s">
        <v>54</v>
      </c>
      <c r="B3">
        <f>MONTH(A3)</f>
        <v>0</v>
      </c>
      <c r="C3" s="2">
        <f>BaseRevenue * ((1 + VolumeGrowth + INDEX(Scenario_Table,MATCH(ScenarioSelector,INDEX(Scenario_Table,,1),0),4))^(ROW()-2)) * ((1 + PriceGrowth + INDEX(Scenario_Table,MATCH(ScenarioSelector,INDEX(Scenario_Table,,1),0),5))^(ROW()-2)) * INDEX(Seasonality, B3) * INDEX(Scenario_Table,MATCH(ScenarioSelector,INDEX(Scenario_Table,,1),0),2)</f>
        <v>0</v>
      </c>
      <c r="D3" s="2">
        <f>C3 * COGS_pct * INDEX(Scenario_Table,MATCH(ScenarioSelector,INDEX(Scenario_Table,,1),0),3)</f>
        <v>0</v>
      </c>
      <c r="E3" s="2">
        <f>Fixed_Opex + (C3 * OpEx_Var_pct) + F3</f>
        <v>0</v>
      </c>
      <c r="F3" s="2">
        <f>G3 * AvgSalary</f>
        <v>0</v>
      </c>
      <c r="G3" s="4">
        <f>Headcount_Start + INT(HiringRate * (ROW()-2))</f>
        <v>0</v>
      </c>
      <c r="H3" s="2">
        <f>C3 - D3 - E3</f>
        <v>0</v>
      </c>
      <c r="I3" s="2">
        <v>0</v>
      </c>
      <c r="J3" s="2">
        <v>0</v>
      </c>
      <c r="K3" s="2">
        <f>H3 - J3</f>
        <v>0</v>
      </c>
      <c r="L3" s="2">
        <f>MAX(0, K3 * TaxRate)</f>
        <v>0</v>
      </c>
      <c r="M3" s="2">
        <f>K3 - L3</f>
        <v>0</v>
      </c>
    </row>
    <row r="4" spans="1:13">
      <c r="A4" t="s">
        <v>55</v>
      </c>
      <c r="B4">
        <f>MONTH(A4)</f>
        <v>0</v>
      </c>
      <c r="C4" s="2">
        <f>BaseRevenue * ((1 + VolumeGrowth + INDEX(Scenario_Table,MATCH(ScenarioSelector,INDEX(Scenario_Table,,1),0),4))^(ROW()-2)) * ((1 + PriceGrowth + INDEX(Scenario_Table,MATCH(ScenarioSelector,INDEX(Scenario_Table,,1),0),5))^(ROW()-2)) * INDEX(Seasonality, B4) * INDEX(Scenario_Table,MATCH(ScenarioSelector,INDEX(Scenario_Table,,1),0),2)</f>
        <v>0</v>
      </c>
      <c r="D4" s="2">
        <f>C4 * COGS_pct * INDEX(Scenario_Table,MATCH(ScenarioSelector,INDEX(Scenario_Table,,1),0),3)</f>
        <v>0</v>
      </c>
      <c r="E4" s="2">
        <f>Fixed_Opex + (C4 * OpEx_Var_pct) + F4</f>
        <v>0</v>
      </c>
      <c r="F4" s="2">
        <f>G4 * AvgSalary</f>
        <v>0</v>
      </c>
      <c r="G4" s="4">
        <f>Headcount_Start + INT(HiringRate * (ROW()-2))</f>
        <v>0</v>
      </c>
      <c r="H4" s="2">
        <f>C4 - D4 - E4</f>
        <v>0</v>
      </c>
      <c r="I4" s="2">
        <v>50000</v>
      </c>
      <c r="J4" s="2">
        <v>833.3333333333334</v>
      </c>
      <c r="K4" s="2">
        <f>H4 - J4</f>
        <v>0</v>
      </c>
      <c r="L4" s="2">
        <f>MAX(0, K4 * TaxRate)</f>
        <v>0</v>
      </c>
      <c r="M4" s="2">
        <f>K4 - L4</f>
        <v>0</v>
      </c>
    </row>
    <row r="5" spans="1:13">
      <c r="A5" t="s">
        <v>56</v>
      </c>
      <c r="B5">
        <f>MONTH(A5)</f>
        <v>0</v>
      </c>
      <c r="C5" s="2">
        <f>BaseRevenue * ((1 + VolumeGrowth + INDEX(Scenario_Table,MATCH(ScenarioSelector,INDEX(Scenario_Table,,1),0),4))^(ROW()-2)) * ((1 + PriceGrowth + INDEX(Scenario_Table,MATCH(ScenarioSelector,INDEX(Scenario_Table,,1),0),5))^(ROW()-2)) * INDEX(Seasonality, B5) * INDEX(Scenario_Table,MATCH(ScenarioSelector,INDEX(Scenario_Table,,1),0),2)</f>
        <v>0</v>
      </c>
      <c r="D5" s="2">
        <f>C5 * COGS_pct * INDEX(Scenario_Table,MATCH(ScenarioSelector,INDEX(Scenario_Table,,1),0),3)</f>
        <v>0</v>
      </c>
      <c r="E5" s="2">
        <f>Fixed_Opex + (C5 * OpEx_Var_pct) + F5</f>
        <v>0</v>
      </c>
      <c r="F5" s="2">
        <f>G5 * AvgSalary</f>
        <v>0</v>
      </c>
      <c r="G5" s="4">
        <f>Headcount_Start + INT(HiringRate * (ROW()-2))</f>
        <v>0</v>
      </c>
      <c r="H5" s="2">
        <f>C5 - D5 - E5</f>
        <v>0</v>
      </c>
      <c r="I5" s="2">
        <v>0</v>
      </c>
      <c r="J5" s="2">
        <v>833.3333333333334</v>
      </c>
      <c r="K5" s="2">
        <f>H5 - J5</f>
        <v>0</v>
      </c>
      <c r="L5" s="2">
        <f>MAX(0, K5 * TaxRate)</f>
        <v>0</v>
      </c>
      <c r="M5" s="2">
        <f>K5 - L5</f>
        <v>0</v>
      </c>
    </row>
    <row r="6" spans="1:13">
      <c r="A6" t="s">
        <v>57</v>
      </c>
      <c r="B6">
        <f>MONTH(A6)</f>
        <v>0</v>
      </c>
      <c r="C6" s="2">
        <f>BaseRevenue * ((1 + VolumeGrowth + INDEX(Scenario_Table,MATCH(ScenarioSelector,INDEX(Scenario_Table,,1),0),4))^(ROW()-2)) * ((1 + PriceGrowth + INDEX(Scenario_Table,MATCH(ScenarioSelector,INDEX(Scenario_Table,,1),0),5))^(ROW()-2)) * INDEX(Seasonality, B6) * INDEX(Scenario_Table,MATCH(ScenarioSelector,INDEX(Scenario_Table,,1),0),2)</f>
        <v>0</v>
      </c>
      <c r="D6" s="2">
        <f>C6 * COGS_pct * INDEX(Scenario_Table,MATCH(ScenarioSelector,INDEX(Scenario_Table,,1),0),3)</f>
        <v>0</v>
      </c>
      <c r="E6" s="2">
        <f>Fixed_Opex + (C6 * OpEx_Var_pct) + F6</f>
        <v>0</v>
      </c>
      <c r="F6" s="2">
        <f>G6 * AvgSalary</f>
        <v>0</v>
      </c>
      <c r="G6" s="4">
        <f>Headcount_Start + INT(HiringRate * (ROW()-2))</f>
        <v>0</v>
      </c>
      <c r="H6" s="2">
        <f>C6 - D6 - E6</f>
        <v>0</v>
      </c>
      <c r="I6" s="2">
        <v>0</v>
      </c>
      <c r="J6" s="2">
        <v>833.3333333333334</v>
      </c>
      <c r="K6" s="2">
        <f>H6 - J6</f>
        <v>0</v>
      </c>
      <c r="L6" s="2">
        <f>MAX(0, K6 * TaxRate)</f>
        <v>0</v>
      </c>
      <c r="M6" s="2">
        <f>K6 - L6</f>
        <v>0</v>
      </c>
    </row>
    <row r="7" spans="1:13">
      <c r="A7" t="s">
        <v>58</v>
      </c>
      <c r="B7">
        <f>MONTH(A7)</f>
        <v>0</v>
      </c>
      <c r="C7" s="2">
        <f>BaseRevenue * ((1 + VolumeGrowth + INDEX(Scenario_Table,MATCH(ScenarioSelector,INDEX(Scenario_Table,,1),0),4))^(ROW()-2)) * ((1 + PriceGrowth + INDEX(Scenario_Table,MATCH(ScenarioSelector,INDEX(Scenario_Table,,1),0),5))^(ROW()-2)) * INDEX(Seasonality, B7) * INDEX(Scenario_Table,MATCH(ScenarioSelector,INDEX(Scenario_Table,,1),0),2)</f>
        <v>0</v>
      </c>
      <c r="D7" s="2">
        <f>C7 * COGS_pct * INDEX(Scenario_Table,MATCH(ScenarioSelector,INDEX(Scenario_Table,,1),0),3)</f>
        <v>0</v>
      </c>
      <c r="E7" s="2">
        <f>Fixed_Opex + (C7 * OpEx_Var_pct) + F7</f>
        <v>0</v>
      </c>
      <c r="F7" s="2">
        <f>G7 * AvgSalary</f>
        <v>0</v>
      </c>
      <c r="G7" s="4">
        <f>Headcount_Start + INT(HiringRate * (ROW()-2))</f>
        <v>0</v>
      </c>
      <c r="H7" s="2">
        <f>C7 - D7 - E7</f>
        <v>0</v>
      </c>
      <c r="I7" s="2">
        <v>0</v>
      </c>
      <c r="J7" s="2">
        <v>833.3333333333334</v>
      </c>
      <c r="K7" s="2">
        <f>H7 - J7</f>
        <v>0</v>
      </c>
      <c r="L7" s="2">
        <f>MAX(0, K7 * TaxRate)</f>
        <v>0</v>
      </c>
      <c r="M7" s="2">
        <f>K7 - L7</f>
        <v>0</v>
      </c>
    </row>
    <row r="8" spans="1:13">
      <c r="A8" t="s">
        <v>59</v>
      </c>
      <c r="B8">
        <f>MONTH(A8)</f>
        <v>0</v>
      </c>
      <c r="C8" s="2">
        <f>BaseRevenue * ((1 + VolumeGrowth + INDEX(Scenario_Table,MATCH(ScenarioSelector,INDEX(Scenario_Table,,1),0),4))^(ROW()-2)) * ((1 + PriceGrowth + INDEX(Scenario_Table,MATCH(ScenarioSelector,INDEX(Scenario_Table,,1),0),5))^(ROW()-2)) * INDEX(Seasonality, B8) * INDEX(Scenario_Table,MATCH(ScenarioSelector,INDEX(Scenario_Table,,1),0),2)</f>
        <v>0</v>
      </c>
      <c r="D8" s="2">
        <f>C8 * COGS_pct * INDEX(Scenario_Table,MATCH(ScenarioSelector,INDEX(Scenario_Table,,1),0),3)</f>
        <v>0</v>
      </c>
      <c r="E8" s="2">
        <f>Fixed_Opex + (C8 * OpEx_Var_pct) + F8</f>
        <v>0</v>
      </c>
      <c r="F8" s="2">
        <f>G8 * AvgSalary</f>
        <v>0</v>
      </c>
      <c r="G8" s="4">
        <f>Headcount_Start + INT(HiringRate * (ROW()-2))</f>
        <v>0</v>
      </c>
      <c r="H8" s="2">
        <f>C8 - D8 - E8</f>
        <v>0</v>
      </c>
      <c r="I8" s="2">
        <v>0</v>
      </c>
      <c r="J8" s="2">
        <v>833.3333333333334</v>
      </c>
      <c r="K8" s="2">
        <f>H8 - J8</f>
        <v>0</v>
      </c>
      <c r="L8" s="2">
        <f>MAX(0, K8 * TaxRate)</f>
        <v>0</v>
      </c>
      <c r="M8" s="2">
        <f>K8 - L8</f>
        <v>0</v>
      </c>
    </row>
    <row r="9" spans="1:13">
      <c r="A9" t="s">
        <v>60</v>
      </c>
      <c r="B9">
        <f>MONTH(A9)</f>
        <v>0</v>
      </c>
      <c r="C9" s="2">
        <f>BaseRevenue * ((1 + VolumeGrowth + INDEX(Scenario_Table,MATCH(ScenarioSelector,INDEX(Scenario_Table,,1),0),4))^(ROW()-2)) * ((1 + PriceGrowth + INDEX(Scenario_Table,MATCH(ScenarioSelector,INDEX(Scenario_Table,,1),0),5))^(ROW()-2)) * INDEX(Seasonality, B9) * INDEX(Scenario_Table,MATCH(ScenarioSelector,INDEX(Scenario_Table,,1),0),2)</f>
        <v>0</v>
      </c>
      <c r="D9" s="2">
        <f>C9 * COGS_pct * INDEX(Scenario_Table,MATCH(ScenarioSelector,INDEX(Scenario_Table,,1),0),3)</f>
        <v>0</v>
      </c>
      <c r="E9" s="2">
        <f>Fixed_Opex + (C9 * OpEx_Var_pct) + F9</f>
        <v>0</v>
      </c>
      <c r="F9" s="2">
        <f>G9 * AvgSalary</f>
        <v>0</v>
      </c>
      <c r="G9" s="4">
        <f>Headcount_Start + INT(HiringRate * (ROW()-2))</f>
        <v>0</v>
      </c>
      <c r="H9" s="2">
        <f>C9 - D9 - E9</f>
        <v>0</v>
      </c>
      <c r="I9" s="2">
        <v>0</v>
      </c>
      <c r="J9" s="2">
        <v>833.3333333333334</v>
      </c>
      <c r="K9" s="2">
        <f>H9 - J9</f>
        <v>0</v>
      </c>
      <c r="L9" s="2">
        <f>MAX(0, K9 * TaxRate)</f>
        <v>0</v>
      </c>
      <c r="M9" s="2">
        <f>K9 - L9</f>
        <v>0</v>
      </c>
    </row>
    <row r="10" spans="1:13">
      <c r="A10" t="s">
        <v>61</v>
      </c>
      <c r="B10">
        <f>MONTH(A10)</f>
        <v>0</v>
      </c>
      <c r="C10" s="2">
        <f>BaseRevenue * ((1 + VolumeGrowth + INDEX(Scenario_Table,MATCH(ScenarioSelector,INDEX(Scenario_Table,,1),0),4))^(ROW()-2)) * ((1 + PriceGrowth + INDEX(Scenario_Table,MATCH(ScenarioSelector,INDEX(Scenario_Table,,1),0),5))^(ROW()-2)) * INDEX(Seasonality, B10) * INDEX(Scenario_Table,MATCH(ScenarioSelector,INDEX(Scenario_Table,,1),0),2)</f>
        <v>0</v>
      </c>
      <c r="D10" s="2">
        <f>C10 * COGS_pct * INDEX(Scenario_Table,MATCH(ScenarioSelector,INDEX(Scenario_Table,,1),0),3)</f>
        <v>0</v>
      </c>
      <c r="E10" s="2">
        <f>Fixed_Opex + (C10 * OpEx_Var_pct) + F10</f>
        <v>0</v>
      </c>
      <c r="F10" s="2">
        <f>G10 * AvgSalary</f>
        <v>0</v>
      </c>
      <c r="G10" s="4">
        <f>Headcount_Start + INT(HiringRate * (ROW()-2))</f>
        <v>0</v>
      </c>
      <c r="H10" s="2">
        <f>C10 - D10 - E10</f>
        <v>0</v>
      </c>
      <c r="I10" s="2">
        <v>75000</v>
      </c>
      <c r="J10" s="2">
        <v>2083.333333333333</v>
      </c>
      <c r="K10" s="2">
        <f>H10 - J10</f>
        <v>0</v>
      </c>
      <c r="L10" s="2">
        <f>MAX(0, K10 * TaxRate)</f>
        <v>0</v>
      </c>
      <c r="M10" s="2">
        <f>K10 - L10</f>
        <v>0</v>
      </c>
    </row>
    <row r="11" spans="1:13">
      <c r="A11" t="s">
        <v>62</v>
      </c>
      <c r="B11">
        <f>MONTH(A11)</f>
        <v>0</v>
      </c>
      <c r="C11" s="2">
        <f>BaseRevenue * ((1 + VolumeGrowth + INDEX(Scenario_Table,MATCH(ScenarioSelector,INDEX(Scenario_Table,,1),0),4))^(ROW()-2)) * ((1 + PriceGrowth + INDEX(Scenario_Table,MATCH(ScenarioSelector,INDEX(Scenario_Table,,1),0),5))^(ROW()-2)) * INDEX(Seasonality, B11) * INDEX(Scenario_Table,MATCH(ScenarioSelector,INDEX(Scenario_Table,,1),0),2)</f>
        <v>0</v>
      </c>
      <c r="D11" s="2">
        <f>C11 * COGS_pct * INDEX(Scenario_Table,MATCH(ScenarioSelector,INDEX(Scenario_Table,,1),0),3)</f>
        <v>0</v>
      </c>
      <c r="E11" s="2">
        <f>Fixed_Opex + (C11 * OpEx_Var_pct) + F11</f>
        <v>0</v>
      </c>
      <c r="F11" s="2">
        <f>G11 * AvgSalary</f>
        <v>0</v>
      </c>
      <c r="G11" s="4">
        <f>Headcount_Start + INT(HiringRate * (ROW()-2))</f>
        <v>0</v>
      </c>
      <c r="H11" s="2">
        <f>C11 - D11 - E11</f>
        <v>0</v>
      </c>
      <c r="I11" s="2">
        <v>0</v>
      </c>
      <c r="J11" s="2">
        <v>2083.333333333333</v>
      </c>
      <c r="K11" s="2">
        <f>H11 - J11</f>
        <v>0</v>
      </c>
      <c r="L11" s="2">
        <f>MAX(0, K11 * TaxRate)</f>
        <v>0</v>
      </c>
      <c r="M11" s="2">
        <f>K11 - L11</f>
        <v>0</v>
      </c>
    </row>
    <row r="12" spans="1:13">
      <c r="A12" t="s">
        <v>63</v>
      </c>
      <c r="B12">
        <f>MONTH(A12)</f>
        <v>0</v>
      </c>
      <c r="C12" s="2">
        <f>BaseRevenue * ((1 + VolumeGrowth + INDEX(Scenario_Table,MATCH(ScenarioSelector,INDEX(Scenario_Table,,1),0),4))^(ROW()-2)) * ((1 + PriceGrowth + INDEX(Scenario_Table,MATCH(ScenarioSelector,INDEX(Scenario_Table,,1),0),5))^(ROW()-2)) * INDEX(Seasonality, B12) * INDEX(Scenario_Table,MATCH(ScenarioSelector,INDEX(Scenario_Table,,1),0),2)</f>
        <v>0</v>
      </c>
      <c r="D12" s="2">
        <f>C12 * COGS_pct * INDEX(Scenario_Table,MATCH(ScenarioSelector,INDEX(Scenario_Table,,1),0),3)</f>
        <v>0</v>
      </c>
      <c r="E12" s="2">
        <f>Fixed_Opex + (C12 * OpEx_Var_pct) + F12</f>
        <v>0</v>
      </c>
      <c r="F12" s="2">
        <f>G12 * AvgSalary</f>
        <v>0</v>
      </c>
      <c r="G12" s="4">
        <f>Headcount_Start + INT(HiringRate * (ROW()-2))</f>
        <v>0</v>
      </c>
      <c r="H12" s="2">
        <f>C12 - D12 - E12</f>
        <v>0</v>
      </c>
      <c r="I12" s="2">
        <v>0</v>
      </c>
      <c r="J12" s="2">
        <v>2083.333333333333</v>
      </c>
      <c r="K12" s="2">
        <f>H12 - J12</f>
        <v>0</v>
      </c>
      <c r="L12" s="2">
        <f>MAX(0, K12 * TaxRate)</f>
        <v>0</v>
      </c>
      <c r="M12" s="2">
        <f>K12 - L12</f>
        <v>0</v>
      </c>
    </row>
    <row r="13" spans="1:13">
      <c r="A13" t="s">
        <v>64</v>
      </c>
      <c r="B13">
        <f>MONTH(A13)</f>
        <v>0</v>
      </c>
      <c r="C13" s="2">
        <f>BaseRevenue * ((1 + VolumeGrowth + INDEX(Scenario_Table,MATCH(ScenarioSelector,INDEX(Scenario_Table,,1),0),4))^(ROW()-2)) * ((1 + PriceGrowth + INDEX(Scenario_Table,MATCH(ScenarioSelector,INDEX(Scenario_Table,,1),0),5))^(ROW()-2)) * INDEX(Seasonality, B13) * INDEX(Scenario_Table,MATCH(ScenarioSelector,INDEX(Scenario_Table,,1),0),2)</f>
        <v>0</v>
      </c>
      <c r="D13" s="2">
        <f>C13 * COGS_pct * INDEX(Scenario_Table,MATCH(ScenarioSelector,INDEX(Scenario_Table,,1),0),3)</f>
        <v>0</v>
      </c>
      <c r="E13" s="2">
        <f>Fixed_Opex + (C13 * OpEx_Var_pct) + F13</f>
        <v>0</v>
      </c>
      <c r="F13" s="2">
        <f>G13 * AvgSalary</f>
        <v>0</v>
      </c>
      <c r="G13" s="4">
        <f>Headcount_Start + INT(HiringRate * (ROW()-2))</f>
        <v>0</v>
      </c>
      <c r="H13" s="2">
        <f>C13 - D13 - E13</f>
        <v>0</v>
      </c>
      <c r="I13" s="2">
        <v>0</v>
      </c>
      <c r="J13" s="2">
        <v>2083.333333333333</v>
      </c>
      <c r="K13" s="2">
        <f>H13 - J13</f>
        <v>0</v>
      </c>
      <c r="L13" s="2">
        <f>MAX(0, K13 * TaxRate)</f>
        <v>0</v>
      </c>
      <c r="M13" s="2">
        <f>K13 - L13</f>
        <v>0</v>
      </c>
    </row>
    <row r="14" spans="1:13">
      <c r="A14" t="s">
        <v>65</v>
      </c>
      <c r="B14">
        <f>MONTH(A14)</f>
        <v>0</v>
      </c>
      <c r="C14" s="2">
        <f>BaseRevenue * ((1 + VolumeGrowth + INDEX(Scenario_Table,MATCH(ScenarioSelector,INDEX(Scenario_Table,,1),0),4))^(ROW()-2)) * ((1 + PriceGrowth + INDEX(Scenario_Table,MATCH(ScenarioSelector,INDEX(Scenario_Table,,1),0),5))^(ROW()-2)) * INDEX(Seasonality, B14) * INDEX(Scenario_Table,MATCH(ScenarioSelector,INDEX(Scenario_Table,,1),0),2)</f>
        <v>0</v>
      </c>
      <c r="D14" s="2">
        <f>C14 * COGS_pct * INDEX(Scenario_Table,MATCH(ScenarioSelector,INDEX(Scenario_Table,,1),0),3)</f>
        <v>0</v>
      </c>
      <c r="E14" s="2">
        <f>Fixed_Opex + (C14 * OpEx_Var_pct) + F14</f>
        <v>0</v>
      </c>
      <c r="F14" s="2">
        <f>G14 * AvgSalary</f>
        <v>0</v>
      </c>
      <c r="G14" s="4">
        <f>Headcount_Start + INT(HiringRate * (ROW()-2))</f>
        <v>0</v>
      </c>
      <c r="H14" s="2">
        <f>C14 - D14 - E14</f>
        <v>0</v>
      </c>
      <c r="I14" s="2">
        <v>0</v>
      </c>
      <c r="J14" s="2">
        <v>2083.333333333333</v>
      </c>
      <c r="K14" s="2">
        <f>H14 - J14</f>
        <v>0</v>
      </c>
      <c r="L14" s="2">
        <f>MAX(0, K14 * TaxRate)</f>
        <v>0</v>
      </c>
      <c r="M14" s="2">
        <f>K14 - L14</f>
        <v>0</v>
      </c>
    </row>
    <row r="15" spans="1:13">
      <c r="A15" t="s">
        <v>66</v>
      </c>
      <c r="B15">
        <f>MONTH(A15)</f>
        <v>0</v>
      </c>
      <c r="C15" s="2">
        <f>BaseRevenue * ((1 + VolumeGrowth + INDEX(Scenario_Table,MATCH(ScenarioSelector,INDEX(Scenario_Table,,1),0),4))^(ROW()-2)) * ((1 + PriceGrowth + INDEX(Scenario_Table,MATCH(ScenarioSelector,INDEX(Scenario_Table,,1),0),5))^(ROW()-2)) * INDEX(Seasonality, B15) * INDEX(Scenario_Table,MATCH(ScenarioSelector,INDEX(Scenario_Table,,1),0),2)</f>
        <v>0</v>
      </c>
      <c r="D15" s="2">
        <f>C15 * COGS_pct * INDEX(Scenario_Table,MATCH(ScenarioSelector,INDEX(Scenario_Table,,1),0),3)</f>
        <v>0</v>
      </c>
      <c r="E15" s="2">
        <f>Fixed_Opex + (C15 * OpEx_Var_pct) + F15</f>
        <v>0</v>
      </c>
      <c r="F15" s="2">
        <f>G15 * AvgSalary</f>
        <v>0</v>
      </c>
      <c r="G15" s="4">
        <f>Headcount_Start + INT(HiringRate * (ROW()-2))</f>
        <v>0</v>
      </c>
      <c r="H15" s="2">
        <f>C15 - D15 - E15</f>
        <v>0</v>
      </c>
      <c r="I15" s="2">
        <v>0</v>
      </c>
      <c r="J15" s="2">
        <v>2083.333333333333</v>
      </c>
      <c r="K15" s="2">
        <f>H15 - J15</f>
        <v>0</v>
      </c>
      <c r="L15" s="2">
        <f>MAX(0, K15 * TaxRate)</f>
        <v>0</v>
      </c>
      <c r="M15" s="2">
        <f>K15 - L15</f>
        <v>0</v>
      </c>
    </row>
    <row r="16" spans="1:13">
      <c r="A16" t="s">
        <v>67</v>
      </c>
      <c r="B16">
        <f>MONTH(A16)</f>
        <v>0</v>
      </c>
      <c r="C16" s="2">
        <f>BaseRevenue * ((1 + VolumeGrowth + INDEX(Scenario_Table,MATCH(ScenarioSelector,INDEX(Scenario_Table,,1),0),4))^(ROW()-2)) * ((1 + PriceGrowth + INDEX(Scenario_Table,MATCH(ScenarioSelector,INDEX(Scenario_Table,,1),0),5))^(ROW()-2)) * INDEX(Seasonality, B16) * INDEX(Scenario_Table,MATCH(ScenarioSelector,INDEX(Scenario_Table,,1),0),2)</f>
        <v>0</v>
      </c>
      <c r="D16" s="2">
        <f>C16 * COGS_pct * INDEX(Scenario_Table,MATCH(ScenarioSelector,INDEX(Scenario_Table,,1),0),3)</f>
        <v>0</v>
      </c>
      <c r="E16" s="2">
        <f>Fixed_Opex + (C16 * OpEx_Var_pct) + F16</f>
        <v>0</v>
      </c>
      <c r="F16" s="2">
        <f>G16 * AvgSalary</f>
        <v>0</v>
      </c>
      <c r="G16" s="4">
        <f>Headcount_Start + INT(HiringRate * (ROW()-2))</f>
        <v>0</v>
      </c>
      <c r="H16" s="2">
        <f>C16 - D16 - E16</f>
        <v>0</v>
      </c>
      <c r="I16" s="2">
        <v>50000</v>
      </c>
      <c r="J16" s="2">
        <v>2916.666666666667</v>
      </c>
      <c r="K16" s="2">
        <f>H16 - J16</f>
        <v>0</v>
      </c>
      <c r="L16" s="2">
        <f>MAX(0, K16 * TaxRate)</f>
        <v>0</v>
      </c>
      <c r="M16" s="2">
        <f>K16 - L16</f>
        <v>0</v>
      </c>
    </row>
    <row r="17" spans="1:13">
      <c r="A17" t="s">
        <v>68</v>
      </c>
      <c r="B17">
        <f>MONTH(A17)</f>
        <v>0</v>
      </c>
      <c r="C17" s="2">
        <f>BaseRevenue * ((1 + VolumeGrowth + INDEX(Scenario_Table,MATCH(ScenarioSelector,INDEX(Scenario_Table,,1),0),4))^(ROW()-2)) * ((1 + PriceGrowth + INDEX(Scenario_Table,MATCH(ScenarioSelector,INDEX(Scenario_Table,,1),0),5))^(ROW()-2)) * INDEX(Seasonality, B17) * INDEX(Scenario_Table,MATCH(ScenarioSelector,INDEX(Scenario_Table,,1),0),2)</f>
        <v>0</v>
      </c>
      <c r="D17" s="2">
        <f>C17 * COGS_pct * INDEX(Scenario_Table,MATCH(ScenarioSelector,INDEX(Scenario_Table,,1),0),3)</f>
        <v>0</v>
      </c>
      <c r="E17" s="2">
        <f>Fixed_Opex + (C17 * OpEx_Var_pct) + F17</f>
        <v>0</v>
      </c>
      <c r="F17" s="2">
        <f>G17 * AvgSalary</f>
        <v>0</v>
      </c>
      <c r="G17" s="4">
        <f>Headcount_Start + INT(HiringRate * (ROW()-2))</f>
        <v>0</v>
      </c>
      <c r="H17" s="2">
        <f>C17 - D17 - E17</f>
        <v>0</v>
      </c>
      <c r="I17" s="2">
        <v>0</v>
      </c>
      <c r="J17" s="2">
        <v>2916.666666666667</v>
      </c>
      <c r="K17" s="2">
        <f>H17 - J17</f>
        <v>0</v>
      </c>
      <c r="L17" s="2">
        <f>MAX(0, K17 * TaxRate)</f>
        <v>0</v>
      </c>
      <c r="M17" s="2">
        <f>K17 - L17</f>
        <v>0</v>
      </c>
    </row>
    <row r="18" spans="1:13">
      <c r="A18" t="s">
        <v>69</v>
      </c>
      <c r="B18">
        <f>MONTH(A18)</f>
        <v>0</v>
      </c>
      <c r="C18" s="2">
        <f>BaseRevenue * ((1 + VolumeGrowth + INDEX(Scenario_Table,MATCH(ScenarioSelector,INDEX(Scenario_Table,,1),0),4))^(ROW()-2)) * ((1 + PriceGrowth + INDEX(Scenario_Table,MATCH(ScenarioSelector,INDEX(Scenario_Table,,1),0),5))^(ROW()-2)) * INDEX(Seasonality, B18) * INDEX(Scenario_Table,MATCH(ScenarioSelector,INDEX(Scenario_Table,,1),0),2)</f>
        <v>0</v>
      </c>
      <c r="D18" s="2">
        <f>C18 * COGS_pct * INDEX(Scenario_Table,MATCH(ScenarioSelector,INDEX(Scenario_Table,,1),0),3)</f>
        <v>0</v>
      </c>
      <c r="E18" s="2">
        <f>Fixed_Opex + (C18 * OpEx_Var_pct) + F18</f>
        <v>0</v>
      </c>
      <c r="F18" s="2">
        <f>G18 * AvgSalary</f>
        <v>0</v>
      </c>
      <c r="G18" s="4">
        <f>Headcount_Start + INT(HiringRate * (ROW()-2))</f>
        <v>0</v>
      </c>
      <c r="H18" s="2">
        <f>C18 - D18 - E18</f>
        <v>0</v>
      </c>
      <c r="I18" s="2">
        <v>0</v>
      </c>
      <c r="J18" s="2">
        <v>2916.666666666667</v>
      </c>
      <c r="K18" s="2">
        <f>H18 - J18</f>
        <v>0</v>
      </c>
      <c r="L18" s="2">
        <f>MAX(0, K18 * TaxRate)</f>
        <v>0</v>
      </c>
      <c r="M18" s="2">
        <f>K18 - L18</f>
        <v>0</v>
      </c>
    </row>
    <row r="19" spans="1:13">
      <c r="A19" t="s">
        <v>70</v>
      </c>
      <c r="B19">
        <f>MONTH(A19)</f>
        <v>0</v>
      </c>
      <c r="C19" s="2">
        <f>BaseRevenue * ((1 + VolumeGrowth + INDEX(Scenario_Table,MATCH(ScenarioSelector,INDEX(Scenario_Table,,1),0),4))^(ROW()-2)) * ((1 + PriceGrowth + INDEX(Scenario_Table,MATCH(ScenarioSelector,INDEX(Scenario_Table,,1),0),5))^(ROW()-2)) * INDEX(Seasonality, B19) * INDEX(Scenario_Table,MATCH(ScenarioSelector,INDEX(Scenario_Table,,1),0),2)</f>
        <v>0</v>
      </c>
      <c r="D19" s="2">
        <f>C19 * COGS_pct * INDEX(Scenario_Table,MATCH(ScenarioSelector,INDEX(Scenario_Table,,1),0),3)</f>
        <v>0</v>
      </c>
      <c r="E19" s="2">
        <f>Fixed_Opex + (C19 * OpEx_Var_pct) + F19</f>
        <v>0</v>
      </c>
      <c r="F19" s="2">
        <f>G19 * AvgSalary</f>
        <v>0</v>
      </c>
      <c r="G19" s="4">
        <f>Headcount_Start + INT(HiringRate * (ROW()-2))</f>
        <v>0</v>
      </c>
      <c r="H19" s="2">
        <f>C19 - D19 - E19</f>
        <v>0</v>
      </c>
      <c r="I19" s="2">
        <v>0</v>
      </c>
      <c r="J19" s="2">
        <v>2916.666666666667</v>
      </c>
      <c r="K19" s="2">
        <f>H19 - J19</f>
        <v>0</v>
      </c>
      <c r="L19" s="2">
        <f>MAX(0, K19 * TaxRate)</f>
        <v>0</v>
      </c>
      <c r="M19" s="2">
        <f>K19 - L19</f>
        <v>0</v>
      </c>
    </row>
    <row r="20" spans="1:13">
      <c r="A20" t="s">
        <v>71</v>
      </c>
      <c r="B20">
        <f>MONTH(A20)</f>
        <v>0</v>
      </c>
      <c r="C20" s="2">
        <f>BaseRevenue * ((1 + VolumeGrowth + INDEX(Scenario_Table,MATCH(ScenarioSelector,INDEX(Scenario_Table,,1),0),4))^(ROW()-2)) * ((1 + PriceGrowth + INDEX(Scenario_Table,MATCH(ScenarioSelector,INDEX(Scenario_Table,,1),0),5))^(ROW()-2)) * INDEX(Seasonality, B20) * INDEX(Scenario_Table,MATCH(ScenarioSelector,INDEX(Scenario_Table,,1),0),2)</f>
        <v>0</v>
      </c>
      <c r="D20" s="2">
        <f>C20 * COGS_pct * INDEX(Scenario_Table,MATCH(ScenarioSelector,INDEX(Scenario_Table,,1),0),3)</f>
        <v>0</v>
      </c>
      <c r="E20" s="2">
        <f>Fixed_Opex + (C20 * OpEx_Var_pct) + F20</f>
        <v>0</v>
      </c>
      <c r="F20" s="2">
        <f>G20 * AvgSalary</f>
        <v>0</v>
      </c>
      <c r="G20" s="4">
        <f>Headcount_Start + INT(HiringRate * (ROW()-2))</f>
        <v>0</v>
      </c>
      <c r="H20" s="2">
        <f>C20 - D20 - E20</f>
        <v>0</v>
      </c>
      <c r="I20" s="2">
        <v>0</v>
      </c>
      <c r="J20" s="2">
        <v>2916.666666666667</v>
      </c>
      <c r="K20" s="2">
        <f>H20 - J20</f>
        <v>0</v>
      </c>
      <c r="L20" s="2">
        <f>MAX(0, K20 * TaxRate)</f>
        <v>0</v>
      </c>
      <c r="M20" s="2">
        <f>K20 - L20</f>
        <v>0</v>
      </c>
    </row>
    <row r="21" spans="1:13">
      <c r="A21" t="s">
        <v>72</v>
      </c>
      <c r="B21">
        <f>MONTH(A21)</f>
        <v>0</v>
      </c>
      <c r="C21" s="2">
        <f>BaseRevenue * ((1 + VolumeGrowth + INDEX(Scenario_Table,MATCH(ScenarioSelector,INDEX(Scenario_Table,,1),0),4))^(ROW()-2)) * ((1 + PriceGrowth + INDEX(Scenario_Table,MATCH(ScenarioSelector,INDEX(Scenario_Table,,1),0),5))^(ROW()-2)) * INDEX(Seasonality, B21) * INDEX(Scenario_Table,MATCH(ScenarioSelector,INDEX(Scenario_Table,,1),0),2)</f>
        <v>0</v>
      </c>
      <c r="D21" s="2">
        <f>C21 * COGS_pct * INDEX(Scenario_Table,MATCH(ScenarioSelector,INDEX(Scenario_Table,,1),0),3)</f>
        <v>0</v>
      </c>
      <c r="E21" s="2">
        <f>Fixed_Opex + (C21 * OpEx_Var_pct) + F21</f>
        <v>0</v>
      </c>
      <c r="F21" s="2">
        <f>G21 * AvgSalary</f>
        <v>0</v>
      </c>
      <c r="G21" s="4">
        <f>Headcount_Start + INT(HiringRate * (ROW()-2))</f>
        <v>0</v>
      </c>
      <c r="H21" s="2">
        <f>C21 - D21 - E21</f>
        <v>0</v>
      </c>
      <c r="I21" s="2">
        <v>0</v>
      </c>
      <c r="J21" s="2">
        <v>2916.666666666667</v>
      </c>
      <c r="K21" s="2">
        <f>H21 - J21</f>
        <v>0</v>
      </c>
      <c r="L21" s="2">
        <f>MAX(0, K21 * TaxRate)</f>
        <v>0</v>
      </c>
      <c r="M21" s="2">
        <f>K21 - L21</f>
        <v>0</v>
      </c>
    </row>
    <row r="22" spans="1:13">
      <c r="A22" t="s">
        <v>73</v>
      </c>
      <c r="B22">
        <f>MONTH(A22)</f>
        <v>0</v>
      </c>
      <c r="C22" s="2">
        <f>BaseRevenue * ((1 + VolumeGrowth + INDEX(Scenario_Table,MATCH(ScenarioSelector,INDEX(Scenario_Table,,1),0),4))^(ROW()-2)) * ((1 + PriceGrowth + INDEX(Scenario_Table,MATCH(ScenarioSelector,INDEX(Scenario_Table,,1),0),5))^(ROW()-2)) * INDEX(Seasonality, B22) * INDEX(Scenario_Table,MATCH(ScenarioSelector,INDEX(Scenario_Table,,1),0),2)</f>
        <v>0</v>
      </c>
      <c r="D22" s="2">
        <f>C22 * COGS_pct * INDEX(Scenario_Table,MATCH(ScenarioSelector,INDEX(Scenario_Table,,1),0),3)</f>
        <v>0</v>
      </c>
      <c r="E22" s="2">
        <f>Fixed_Opex + (C22 * OpEx_Var_pct) + F22</f>
        <v>0</v>
      </c>
      <c r="F22" s="2">
        <f>G22 * AvgSalary</f>
        <v>0</v>
      </c>
      <c r="G22" s="4">
        <f>Headcount_Start + INT(HiringRate * (ROW()-2))</f>
        <v>0</v>
      </c>
      <c r="H22" s="2">
        <f>C22 - D22 - E22</f>
        <v>0</v>
      </c>
      <c r="I22" s="2">
        <v>0</v>
      </c>
      <c r="J22" s="2">
        <v>2916.666666666667</v>
      </c>
      <c r="K22" s="2">
        <f>H22 - J22</f>
        <v>0</v>
      </c>
      <c r="L22" s="2">
        <f>MAX(0, K22 * TaxRate)</f>
        <v>0</v>
      </c>
      <c r="M22" s="2">
        <f>K22 - L22</f>
        <v>0</v>
      </c>
    </row>
    <row r="23" spans="1:13">
      <c r="A23" t="s">
        <v>74</v>
      </c>
      <c r="B23">
        <f>MONTH(A23)</f>
        <v>0</v>
      </c>
      <c r="C23" s="2">
        <f>BaseRevenue * ((1 + VolumeGrowth + INDEX(Scenario_Table,MATCH(ScenarioSelector,INDEX(Scenario_Table,,1),0),4))^(ROW()-2)) * ((1 + PriceGrowth + INDEX(Scenario_Table,MATCH(ScenarioSelector,INDEX(Scenario_Table,,1),0),5))^(ROW()-2)) * INDEX(Seasonality, B23) * INDEX(Scenario_Table,MATCH(ScenarioSelector,INDEX(Scenario_Table,,1),0),2)</f>
        <v>0</v>
      </c>
      <c r="D23" s="2">
        <f>C23 * COGS_pct * INDEX(Scenario_Table,MATCH(ScenarioSelector,INDEX(Scenario_Table,,1),0),3)</f>
        <v>0</v>
      </c>
      <c r="E23" s="2">
        <f>Fixed_Opex + (C23 * OpEx_Var_pct) + F23</f>
        <v>0</v>
      </c>
      <c r="F23" s="2">
        <f>G23 * AvgSalary</f>
        <v>0</v>
      </c>
      <c r="G23" s="4">
        <f>Headcount_Start + INT(HiringRate * (ROW()-2))</f>
        <v>0</v>
      </c>
      <c r="H23" s="2">
        <f>C23 - D23 - E23</f>
        <v>0</v>
      </c>
      <c r="I23" s="2">
        <v>0</v>
      </c>
      <c r="J23" s="2">
        <v>2916.666666666667</v>
      </c>
      <c r="K23" s="2">
        <f>H23 - J23</f>
        <v>0</v>
      </c>
      <c r="L23" s="2">
        <f>MAX(0, K23 * TaxRate)</f>
        <v>0</v>
      </c>
      <c r="M23" s="2">
        <f>K23 - L23</f>
        <v>0</v>
      </c>
    </row>
    <row r="24" spans="1:13">
      <c r="A24" t="s">
        <v>75</v>
      </c>
      <c r="B24">
        <f>MONTH(A24)</f>
        <v>0</v>
      </c>
      <c r="C24" s="2">
        <f>BaseRevenue * ((1 + VolumeGrowth + INDEX(Scenario_Table,MATCH(ScenarioSelector,INDEX(Scenario_Table,,1),0),4))^(ROW()-2)) * ((1 + PriceGrowth + INDEX(Scenario_Table,MATCH(ScenarioSelector,INDEX(Scenario_Table,,1),0),5))^(ROW()-2)) * INDEX(Seasonality, B24) * INDEX(Scenario_Table,MATCH(ScenarioSelector,INDEX(Scenario_Table,,1),0),2)</f>
        <v>0</v>
      </c>
      <c r="D24" s="2">
        <f>C24 * COGS_pct * INDEX(Scenario_Table,MATCH(ScenarioSelector,INDEX(Scenario_Table,,1),0),3)</f>
        <v>0</v>
      </c>
      <c r="E24" s="2">
        <f>Fixed_Opex + (C24 * OpEx_Var_pct) + F24</f>
        <v>0</v>
      </c>
      <c r="F24" s="2">
        <f>G24 * AvgSalary</f>
        <v>0</v>
      </c>
      <c r="G24" s="4">
        <f>Headcount_Start + INT(HiringRate * (ROW()-2))</f>
        <v>0</v>
      </c>
      <c r="H24" s="2">
        <f>C24 - D24 - E24</f>
        <v>0</v>
      </c>
      <c r="I24" s="2">
        <v>0</v>
      </c>
      <c r="J24" s="2">
        <v>2916.666666666667</v>
      </c>
      <c r="K24" s="2">
        <f>H24 - J24</f>
        <v>0</v>
      </c>
      <c r="L24" s="2">
        <f>MAX(0, K24 * TaxRate)</f>
        <v>0</v>
      </c>
      <c r="M24" s="2">
        <f>K24 - L24</f>
        <v>0</v>
      </c>
    </row>
    <row r="25" spans="1:13">
      <c r="A25" t="s">
        <v>76</v>
      </c>
      <c r="B25">
        <f>MONTH(A25)</f>
        <v>0</v>
      </c>
      <c r="C25" s="2">
        <f>BaseRevenue * ((1 + VolumeGrowth + INDEX(Scenario_Table,MATCH(ScenarioSelector,INDEX(Scenario_Table,,1),0),4))^(ROW()-2)) * ((1 + PriceGrowth + INDEX(Scenario_Table,MATCH(ScenarioSelector,INDEX(Scenario_Table,,1),0),5))^(ROW()-2)) * INDEX(Seasonality, B25) * INDEX(Scenario_Table,MATCH(ScenarioSelector,INDEX(Scenario_Table,,1),0),2)</f>
        <v>0</v>
      </c>
      <c r="D25" s="2">
        <f>C25 * COGS_pct * INDEX(Scenario_Table,MATCH(ScenarioSelector,INDEX(Scenario_Table,,1),0),3)</f>
        <v>0</v>
      </c>
      <c r="E25" s="2">
        <f>Fixed_Opex + (C25 * OpEx_Var_pct) + F25</f>
        <v>0</v>
      </c>
      <c r="F25" s="2">
        <f>G25 * AvgSalary</f>
        <v>0</v>
      </c>
      <c r="G25" s="4">
        <f>Headcount_Start + INT(HiringRate * (ROW()-2))</f>
        <v>0</v>
      </c>
      <c r="H25" s="2">
        <f>C25 - D25 - E25</f>
        <v>0</v>
      </c>
      <c r="I25" s="2">
        <v>0</v>
      </c>
      <c r="J25" s="2">
        <v>2916.666666666667</v>
      </c>
      <c r="K25" s="2">
        <f>H25 - J25</f>
        <v>0</v>
      </c>
      <c r="L25" s="2">
        <f>MAX(0, K25 * TaxRate)</f>
        <v>0</v>
      </c>
      <c r="M25" s="2">
        <f>K25 - L25</f>
        <v>0</v>
      </c>
    </row>
    <row r="26" spans="1:13">
      <c r="A26" t="s">
        <v>77</v>
      </c>
      <c r="B26">
        <f>MONTH(A26)</f>
        <v>0</v>
      </c>
      <c r="C26" s="2">
        <f>BaseRevenue * ((1 + VolumeGrowth + INDEX(Scenario_Table,MATCH(ScenarioSelector,INDEX(Scenario_Table,,1),0),4))^(ROW()-2)) * ((1 + PriceGrowth + INDEX(Scenario_Table,MATCH(ScenarioSelector,INDEX(Scenario_Table,,1),0),5))^(ROW()-2)) * INDEX(Seasonality, B26) * INDEX(Scenario_Table,MATCH(ScenarioSelector,INDEX(Scenario_Table,,1),0),2)</f>
        <v>0</v>
      </c>
      <c r="D26" s="2">
        <f>C26 * COGS_pct * INDEX(Scenario_Table,MATCH(ScenarioSelector,INDEX(Scenario_Table,,1),0),3)</f>
        <v>0</v>
      </c>
      <c r="E26" s="2">
        <f>Fixed_Opex + (C26 * OpEx_Var_pct) + F26</f>
        <v>0</v>
      </c>
      <c r="F26" s="2">
        <f>G26 * AvgSalary</f>
        <v>0</v>
      </c>
      <c r="G26" s="4">
        <f>Headcount_Start + INT(HiringRate * (ROW()-2))</f>
        <v>0</v>
      </c>
      <c r="H26" s="2">
        <f>C26 - D26 - E26</f>
        <v>0</v>
      </c>
      <c r="I26" s="2">
        <v>100000</v>
      </c>
      <c r="J26" s="2">
        <v>4583.333333333334</v>
      </c>
      <c r="K26" s="2">
        <f>H26 - J26</f>
        <v>0</v>
      </c>
      <c r="L26" s="2">
        <f>MAX(0, K26 * TaxRate)</f>
        <v>0</v>
      </c>
      <c r="M26" s="2">
        <f>K26 - L26</f>
        <v>0</v>
      </c>
    </row>
    <row r="27" spans="1:13">
      <c r="A27" t="s">
        <v>78</v>
      </c>
      <c r="B27">
        <f>MONTH(A27)</f>
        <v>0</v>
      </c>
      <c r="C27" s="2">
        <f>BaseRevenue * ((1 + VolumeGrowth + INDEX(Scenario_Table,MATCH(ScenarioSelector,INDEX(Scenario_Table,,1),0),4))^(ROW()-2)) * ((1 + PriceGrowth + INDEX(Scenario_Table,MATCH(ScenarioSelector,INDEX(Scenario_Table,,1),0),5))^(ROW()-2)) * INDEX(Seasonality, B27) * INDEX(Scenario_Table,MATCH(ScenarioSelector,INDEX(Scenario_Table,,1),0),2)</f>
        <v>0</v>
      </c>
      <c r="D27" s="2">
        <f>C27 * COGS_pct * INDEX(Scenario_Table,MATCH(ScenarioSelector,INDEX(Scenario_Table,,1),0),3)</f>
        <v>0</v>
      </c>
      <c r="E27" s="2">
        <f>Fixed_Opex + (C27 * OpEx_Var_pct) + F27</f>
        <v>0</v>
      </c>
      <c r="F27" s="2">
        <f>G27 * AvgSalary</f>
        <v>0</v>
      </c>
      <c r="G27" s="4">
        <f>Headcount_Start + INT(HiringRate * (ROW()-2))</f>
        <v>0</v>
      </c>
      <c r="H27" s="2">
        <f>C27 - D27 - E27</f>
        <v>0</v>
      </c>
      <c r="I27" s="2">
        <v>0</v>
      </c>
      <c r="J27" s="2">
        <v>4583.333333333334</v>
      </c>
      <c r="K27" s="2">
        <f>H27 - J27</f>
        <v>0</v>
      </c>
      <c r="L27" s="2">
        <f>MAX(0, K27 * TaxRate)</f>
        <v>0</v>
      </c>
      <c r="M27" s="2">
        <f>K27 - L27</f>
        <v>0</v>
      </c>
    </row>
    <row r="28" spans="1:13">
      <c r="A28" t="s">
        <v>79</v>
      </c>
      <c r="B28">
        <f>MONTH(A28)</f>
        <v>0</v>
      </c>
      <c r="C28" s="2">
        <f>BaseRevenue * ((1 + VolumeGrowth + INDEX(Scenario_Table,MATCH(ScenarioSelector,INDEX(Scenario_Table,,1),0),4))^(ROW()-2)) * ((1 + PriceGrowth + INDEX(Scenario_Table,MATCH(ScenarioSelector,INDEX(Scenario_Table,,1),0),5))^(ROW()-2)) * INDEX(Seasonality, B28) * INDEX(Scenario_Table,MATCH(ScenarioSelector,INDEX(Scenario_Table,,1),0),2)</f>
        <v>0</v>
      </c>
      <c r="D28" s="2">
        <f>C28 * COGS_pct * INDEX(Scenario_Table,MATCH(ScenarioSelector,INDEX(Scenario_Table,,1),0),3)</f>
        <v>0</v>
      </c>
      <c r="E28" s="2">
        <f>Fixed_Opex + (C28 * OpEx_Var_pct) + F28</f>
        <v>0</v>
      </c>
      <c r="F28" s="2">
        <f>G28 * AvgSalary</f>
        <v>0</v>
      </c>
      <c r="G28" s="4">
        <f>Headcount_Start + INT(HiringRate * (ROW()-2))</f>
        <v>0</v>
      </c>
      <c r="H28" s="2">
        <f>C28 - D28 - E28</f>
        <v>0</v>
      </c>
      <c r="I28" s="2">
        <v>0</v>
      </c>
      <c r="J28" s="2">
        <v>4583.333333333334</v>
      </c>
      <c r="K28" s="2">
        <f>H28 - J28</f>
        <v>0</v>
      </c>
      <c r="L28" s="2">
        <f>MAX(0, K28 * TaxRate)</f>
        <v>0</v>
      </c>
      <c r="M28" s="2">
        <f>K28 - L28</f>
        <v>0</v>
      </c>
    </row>
    <row r="29" spans="1:13">
      <c r="A29" t="s">
        <v>80</v>
      </c>
      <c r="B29">
        <f>MONTH(A29)</f>
        <v>0</v>
      </c>
      <c r="C29" s="2">
        <f>BaseRevenue * ((1 + VolumeGrowth + INDEX(Scenario_Table,MATCH(ScenarioSelector,INDEX(Scenario_Table,,1),0),4))^(ROW()-2)) * ((1 + PriceGrowth + INDEX(Scenario_Table,MATCH(ScenarioSelector,INDEX(Scenario_Table,,1),0),5))^(ROW()-2)) * INDEX(Seasonality, B29) * INDEX(Scenario_Table,MATCH(ScenarioSelector,INDEX(Scenario_Table,,1),0),2)</f>
        <v>0</v>
      </c>
      <c r="D29" s="2">
        <f>C29 * COGS_pct * INDEX(Scenario_Table,MATCH(ScenarioSelector,INDEX(Scenario_Table,,1),0),3)</f>
        <v>0</v>
      </c>
      <c r="E29" s="2">
        <f>Fixed_Opex + (C29 * OpEx_Var_pct) + F29</f>
        <v>0</v>
      </c>
      <c r="F29" s="2">
        <f>G29 * AvgSalary</f>
        <v>0</v>
      </c>
      <c r="G29" s="4">
        <f>Headcount_Start + INT(HiringRate * (ROW()-2))</f>
        <v>0</v>
      </c>
      <c r="H29" s="2">
        <f>C29 - D29 - E29</f>
        <v>0</v>
      </c>
      <c r="I29" s="2">
        <v>0</v>
      </c>
      <c r="J29" s="2">
        <v>4583.333333333334</v>
      </c>
      <c r="K29" s="2">
        <f>H29 - J29</f>
        <v>0</v>
      </c>
      <c r="L29" s="2">
        <f>MAX(0, K29 * TaxRate)</f>
        <v>0</v>
      </c>
      <c r="M29" s="2">
        <f>K29 - L29</f>
        <v>0</v>
      </c>
    </row>
    <row r="30" spans="1:13">
      <c r="A30" t="s">
        <v>81</v>
      </c>
      <c r="B30">
        <f>MONTH(A30)</f>
        <v>0</v>
      </c>
      <c r="C30" s="2">
        <f>BaseRevenue * ((1 + VolumeGrowth + INDEX(Scenario_Table,MATCH(ScenarioSelector,INDEX(Scenario_Table,,1),0),4))^(ROW()-2)) * ((1 + PriceGrowth + INDEX(Scenario_Table,MATCH(ScenarioSelector,INDEX(Scenario_Table,,1),0),5))^(ROW()-2)) * INDEX(Seasonality, B30) * INDEX(Scenario_Table,MATCH(ScenarioSelector,INDEX(Scenario_Table,,1),0),2)</f>
        <v>0</v>
      </c>
      <c r="D30" s="2">
        <f>C30 * COGS_pct * INDEX(Scenario_Table,MATCH(ScenarioSelector,INDEX(Scenario_Table,,1),0),3)</f>
        <v>0</v>
      </c>
      <c r="E30" s="2">
        <f>Fixed_Opex + (C30 * OpEx_Var_pct) + F30</f>
        <v>0</v>
      </c>
      <c r="F30" s="2">
        <f>G30 * AvgSalary</f>
        <v>0</v>
      </c>
      <c r="G30" s="4">
        <f>Headcount_Start + INT(HiringRate * (ROW()-2))</f>
        <v>0</v>
      </c>
      <c r="H30" s="2">
        <f>C30 - D30 - E30</f>
        <v>0</v>
      </c>
      <c r="I30" s="2">
        <v>0</v>
      </c>
      <c r="J30" s="2">
        <v>4583.333333333334</v>
      </c>
      <c r="K30" s="2">
        <f>H30 - J30</f>
        <v>0</v>
      </c>
      <c r="L30" s="2">
        <f>MAX(0, K30 * TaxRate)</f>
        <v>0</v>
      </c>
      <c r="M30" s="2">
        <f>K30 - L30</f>
        <v>0</v>
      </c>
    </row>
    <row r="31" spans="1:13">
      <c r="A31" t="s">
        <v>82</v>
      </c>
      <c r="B31">
        <f>MONTH(A31)</f>
        <v>0</v>
      </c>
      <c r="C31" s="2">
        <f>BaseRevenue * ((1 + VolumeGrowth + INDEX(Scenario_Table,MATCH(ScenarioSelector,INDEX(Scenario_Table,,1),0),4))^(ROW()-2)) * ((1 + PriceGrowth + INDEX(Scenario_Table,MATCH(ScenarioSelector,INDEX(Scenario_Table,,1),0),5))^(ROW()-2)) * INDEX(Seasonality, B31) * INDEX(Scenario_Table,MATCH(ScenarioSelector,INDEX(Scenario_Table,,1),0),2)</f>
        <v>0</v>
      </c>
      <c r="D31" s="2">
        <f>C31 * COGS_pct * INDEX(Scenario_Table,MATCH(ScenarioSelector,INDEX(Scenario_Table,,1),0),3)</f>
        <v>0</v>
      </c>
      <c r="E31" s="2">
        <f>Fixed_Opex + (C31 * OpEx_Var_pct) + F31</f>
        <v>0</v>
      </c>
      <c r="F31" s="2">
        <f>G31 * AvgSalary</f>
        <v>0</v>
      </c>
      <c r="G31" s="4">
        <f>Headcount_Start + INT(HiringRate * (ROW()-2))</f>
        <v>0</v>
      </c>
      <c r="H31" s="2">
        <f>C31 - D31 - E31</f>
        <v>0</v>
      </c>
      <c r="I31" s="2">
        <v>0</v>
      </c>
      <c r="J31" s="2">
        <v>4583.333333333334</v>
      </c>
      <c r="K31" s="2">
        <f>H31 - J31</f>
        <v>0</v>
      </c>
      <c r="L31" s="2">
        <f>MAX(0, K31 * TaxRate)</f>
        <v>0</v>
      </c>
      <c r="M31" s="2">
        <f>K31 - L31</f>
        <v>0</v>
      </c>
    </row>
    <row r="32" spans="1:13">
      <c r="A32" t="s">
        <v>83</v>
      </c>
      <c r="B32">
        <f>MONTH(A32)</f>
        <v>0</v>
      </c>
      <c r="C32" s="2">
        <f>BaseRevenue * ((1 + VolumeGrowth + INDEX(Scenario_Table,MATCH(ScenarioSelector,INDEX(Scenario_Table,,1),0),4))^(ROW()-2)) * ((1 + PriceGrowth + INDEX(Scenario_Table,MATCH(ScenarioSelector,INDEX(Scenario_Table,,1),0),5))^(ROW()-2)) * INDEX(Seasonality, B32) * INDEX(Scenario_Table,MATCH(ScenarioSelector,INDEX(Scenario_Table,,1),0),2)</f>
        <v>0</v>
      </c>
      <c r="D32" s="2">
        <f>C32 * COGS_pct * INDEX(Scenario_Table,MATCH(ScenarioSelector,INDEX(Scenario_Table,,1),0),3)</f>
        <v>0</v>
      </c>
      <c r="E32" s="2">
        <f>Fixed_Opex + (C32 * OpEx_Var_pct) + F32</f>
        <v>0</v>
      </c>
      <c r="F32" s="2">
        <f>G32 * AvgSalary</f>
        <v>0</v>
      </c>
      <c r="G32" s="4">
        <f>Headcount_Start + INT(HiringRate * (ROW()-2))</f>
        <v>0</v>
      </c>
      <c r="H32" s="2">
        <f>C32 - D32 - E32</f>
        <v>0</v>
      </c>
      <c r="I32" s="2">
        <v>0</v>
      </c>
      <c r="J32" s="2">
        <v>4583.333333333334</v>
      </c>
      <c r="K32" s="2">
        <f>H32 - J32</f>
        <v>0</v>
      </c>
      <c r="L32" s="2">
        <f>MAX(0, K32 * TaxRate)</f>
        <v>0</v>
      </c>
      <c r="M32" s="2">
        <f>K32 - L32</f>
        <v>0</v>
      </c>
    </row>
    <row r="33" spans="1:13">
      <c r="A33" t="s">
        <v>84</v>
      </c>
      <c r="B33">
        <f>MONTH(A33)</f>
        <v>0</v>
      </c>
      <c r="C33" s="2">
        <f>BaseRevenue * ((1 + VolumeGrowth + INDEX(Scenario_Table,MATCH(ScenarioSelector,INDEX(Scenario_Table,,1),0),4))^(ROW()-2)) * ((1 + PriceGrowth + INDEX(Scenario_Table,MATCH(ScenarioSelector,INDEX(Scenario_Table,,1),0),5))^(ROW()-2)) * INDEX(Seasonality, B33) * INDEX(Scenario_Table,MATCH(ScenarioSelector,INDEX(Scenario_Table,,1),0),2)</f>
        <v>0</v>
      </c>
      <c r="D33" s="2">
        <f>C33 * COGS_pct * INDEX(Scenario_Table,MATCH(ScenarioSelector,INDEX(Scenario_Table,,1),0),3)</f>
        <v>0</v>
      </c>
      <c r="E33" s="2">
        <f>Fixed_Opex + (C33 * OpEx_Var_pct) + F33</f>
        <v>0</v>
      </c>
      <c r="F33" s="2">
        <f>G33 * AvgSalary</f>
        <v>0</v>
      </c>
      <c r="G33" s="4">
        <f>Headcount_Start + INT(HiringRate * (ROW()-2))</f>
        <v>0</v>
      </c>
      <c r="H33" s="2">
        <f>C33 - D33 - E33</f>
        <v>0</v>
      </c>
      <c r="I33" s="2">
        <v>0</v>
      </c>
      <c r="J33" s="2">
        <v>4583.333333333334</v>
      </c>
      <c r="K33" s="2">
        <f>H33 - J33</f>
        <v>0</v>
      </c>
      <c r="L33" s="2">
        <f>MAX(0, K33 * TaxRate)</f>
        <v>0</v>
      </c>
      <c r="M33" s="2">
        <f>K33 - L33</f>
        <v>0</v>
      </c>
    </row>
    <row r="34" spans="1:13">
      <c r="A34" t="s">
        <v>85</v>
      </c>
      <c r="B34">
        <f>MONTH(A34)</f>
        <v>0</v>
      </c>
      <c r="C34" s="2">
        <f>BaseRevenue * ((1 + VolumeGrowth + INDEX(Scenario_Table,MATCH(ScenarioSelector,INDEX(Scenario_Table,,1),0),4))^(ROW()-2)) * ((1 + PriceGrowth + INDEX(Scenario_Table,MATCH(ScenarioSelector,INDEX(Scenario_Table,,1),0),5))^(ROW()-2)) * INDEX(Seasonality, B34) * INDEX(Scenario_Table,MATCH(ScenarioSelector,INDEX(Scenario_Table,,1),0),2)</f>
        <v>0</v>
      </c>
      <c r="D34" s="2">
        <f>C34 * COGS_pct * INDEX(Scenario_Table,MATCH(ScenarioSelector,INDEX(Scenario_Table,,1),0),3)</f>
        <v>0</v>
      </c>
      <c r="E34" s="2">
        <f>Fixed_Opex + (C34 * OpEx_Var_pct) + F34</f>
        <v>0</v>
      </c>
      <c r="F34" s="2">
        <f>G34 * AvgSalary</f>
        <v>0</v>
      </c>
      <c r="G34" s="4">
        <f>Headcount_Start + INT(HiringRate * (ROW()-2))</f>
        <v>0</v>
      </c>
      <c r="H34" s="2">
        <f>C34 - D34 - E34</f>
        <v>0</v>
      </c>
      <c r="I34" s="2">
        <v>0</v>
      </c>
      <c r="J34" s="2">
        <v>4583.333333333334</v>
      </c>
      <c r="K34" s="2">
        <f>H34 - J34</f>
        <v>0</v>
      </c>
      <c r="L34" s="2">
        <f>MAX(0, K34 * TaxRate)</f>
        <v>0</v>
      </c>
      <c r="M34" s="2">
        <f>K34 - L34</f>
        <v>0</v>
      </c>
    </row>
    <row r="35" spans="1:13">
      <c r="A35" t="s">
        <v>86</v>
      </c>
      <c r="B35">
        <f>MONTH(A35)</f>
        <v>0</v>
      </c>
      <c r="C35" s="2">
        <f>BaseRevenue * ((1 + VolumeGrowth + INDEX(Scenario_Table,MATCH(ScenarioSelector,INDEX(Scenario_Table,,1),0),4))^(ROW()-2)) * ((1 + PriceGrowth + INDEX(Scenario_Table,MATCH(ScenarioSelector,INDEX(Scenario_Table,,1),0),5))^(ROW()-2)) * INDEX(Seasonality, B35) * INDEX(Scenario_Table,MATCH(ScenarioSelector,INDEX(Scenario_Table,,1),0),2)</f>
        <v>0</v>
      </c>
      <c r="D35" s="2">
        <f>C35 * COGS_pct * INDEX(Scenario_Table,MATCH(ScenarioSelector,INDEX(Scenario_Table,,1),0),3)</f>
        <v>0</v>
      </c>
      <c r="E35" s="2">
        <f>Fixed_Opex + (C35 * OpEx_Var_pct) + F35</f>
        <v>0</v>
      </c>
      <c r="F35" s="2">
        <f>G35 * AvgSalary</f>
        <v>0</v>
      </c>
      <c r="G35" s="4">
        <f>Headcount_Start + INT(HiringRate * (ROW()-2))</f>
        <v>0</v>
      </c>
      <c r="H35" s="2">
        <f>C35 - D35 - E35</f>
        <v>0</v>
      </c>
      <c r="I35" s="2">
        <v>0</v>
      </c>
      <c r="J35" s="2">
        <v>4583.333333333334</v>
      </c>
      <c r="K35" s="2">
        <f>H35 - J35</f>
        <v>0</v>
      </c>
      <c r="L35" s="2">
        <f>MAX(0, K35 * TaxRate)</f>
        <v>0</v>
      </c>
      <c r="M35" s="2">
        <f>K35 - L35</f>
        <v>0</v>
      </c>
    </row>
    <row r="36" spans="1:13">
      <c r="A36" t="s">
        <v>87</v>
      </c>
      <c r="B36">
        <f>MONTH(A36)</f>
        <v>0</v>
      </c>
      <c r="C36" s="2">
        <f>BaseRevenue * ((1 + VolumeGrowth + INDEX(Scenario_Table,MATCH(ScenarioSelector,INDEX(Scenario_Table,,1),0),4))^(ROW()-2)) * ((1 + PriceGrowth + INDEX(Scenario_Table,MATCH(ScenarioSelector,INDEX(Scenario_Table,,1),0),5))^(ROW()-2)) * INDEX(Seasonality, B36) * INDEX(Scenario_Table,MATCH(ScenarioSelector,INDEX(Scenario_Table,,1),0),2)</f>
        <v>0</v>
      </c>
      <c r="D36" s="2">
        <f>C36 * COGS_pct * INDEX(Scenario_Table,MATCH(ScenarioSelector,INDEX(Scenario_Table,,1),0),3)</f>
        <v>0</v>
      </c>
      <c r="E36" s="2">
        <f>Fixed_Opex + (C36 * OpEx_Var_pct) + F36</f>
        <v>0</v>
      </c>
      <c r="F36" s="2">
        <f>G36 * AvgSalary</f>
        <v>0</v>
      </c>
      <c r="G36" s="4">
        <f>Headcount_Start + INT(HiringRate * (ROW()-2))</f>
        <v>0</v>
      </c>
      <c r="H36" s="2">
        <f>C36 - D36 - E36</f>
        <v>0</v>
      </c>
      <c r="I36" s="2">
        <v>0</v>
      </c>
      <c r="J36" s="2">
        <v>4583.333333333334</v>
      </c>
      <c r="K36" s="2">
        <f>H36 - J36</f>
        <v>0</v>
      </c>
      <c r="L36" s="2">
        <f>MAX(0, K36 * TaxRate)</f>
        <v>0</v>
      </c>
      <c r="M36" s="2">
        <f>K36 - L36</f>
        <v>0</v>
      </c>
    </row>
    <row r="37" spans="1:13">
      <c r="A37" t="s">
        <v>88</v>
      </c>
      <c r="B37">
        <f>MONTH(A37)</f>
        <v>0</v>
      </c>
      <c r="C37" s="2">
        <f>BaseRevenue * ((1 + VolumeGrowth + INDEX(Scenario_Table,MATCH(ScenarioSelector,INDEX(Scenario_Table,,1),0),4))^(ROW()-2)) * ((1 + PriceGrowth + INDEX(Scenario_Table,MATCH(ScenarioSelector,INDEX(Scenario_Table,,1),0),5))^(ROW()-2)) * INDEX(Seasonality, B37) * INDEX(Scenario_Table,MATCH(ScenarioSelector,INDEX(Scenario_Table,,1),0),2)</f>
        <v>0</v>
      </c>
      <c r="D37" s="2">
        <f>C37 * COGS_pct * INDEX(Scenario_Table,MATCH(ScenarioSelector,INDEX(Scenario_Table,,1),0),3)</f>
        <v>0</v>
      </c>
      <c r="E37" s="2">
        <f>Fixed_Opex + (C37 * OpEx_Var_pct) + F37</f>
        <v>0</v>
      </c>
      <c r="F37" s="2">
        <f>G37 * AvgSalary</f>
        <v>0</v>
      </c>
      <c r="G37" s="4">
        <f>Headcount_Start + INT(HiringRate * (ROW()-2))</f>
        <v>0</v>
      </c>
      <c r="H37" s="2">
        <f>C37 - D37 - E37</f>
        <v>0</v>
      </c>
      <c r="I37" s="2">
        <v>0</v>
      </c>
      <c r="J37" s="2">
        <v>4583.333333333334</v>
      </c>
      <c r="K37" s="2">
        <f>H37 - J37</f>
        <v>0</v>
      </c>
      <c r="L37" s="2">
        <f>MAX(0, K37 * TaxRate)</f>
        <v>0</v>
      </c>
      <c r="M37" s="2">
        <f>K37 - L37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7"/>
  <sheetViews>
    <sheetView workbookViewId="0"/>
  </sheetViews>
  <sheetFormatPr defaultRowHeight="15"/>
  <sheetData>
    <row r="1" spans="1:14">
      <c r="A1" s="1" t="s">
        <v>40</v>
      </c>
      <c r="B1" s="1" t="s">
        <v>42</v>
      </c>
      <c r="C1" s="1" t="s">
        <v>43</v>
      </c>
      <c r="D1" s="1" t="s">
        <v>44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52</v>
      </c>
      <c r="K1" s="1" t="s">
        <v>49</v>
      </c>
      <c r="L1" s="1" t="s">
        <v>48</v>
      </c>
      <c r="M1" s="1" t="s">
        <v>94</v>
      </c>
      <c r="N1" s="1" t="s">
        <v>95</v>
      </c>
    </row>
    <row r="2" spans="1:14">
      <c r="A2" t="s">
        <v>53</v>
      </c>
      <c r="B2" s="2">
        <f>Engine!C2</f>
        <v>0</v>
      </c>
      <c r="C2" s="2">
        <f>Engine!D2</f>
        <v>0</v>
      </c>
      <c r="D2" s="2">
        <f>Engine!E2</f>
        <v>0</v>
      </c>
      <c r="E2" s="2">
        <f>B2 * DSO / 30</f>
        <v>0</v>
      </c>
      <c r="F2" s="2">
        <f>C2 * DSI / 30</f>
        <v>0</v>
      </c>
      <c r="G2" s="2">
        <f>(C2 + D2) * DPO / 30</f>
        <v>0</v>
      </c>
      <c r="H2" s="2">
        <f>E2 + F2 - G2</f>
        <v>0</v>
      </c>
      <c r="I2" s="2">
        <f>H2 - 0</f>
        <v>0</v>
      </c>
      <c r="J2" s="2">
        <f>Engine!M2</f>
        <v>0</v>
      </c>
      <c r="K2" s="2">
        <f>Engine!J2</f>
        <v>0</v>
      </c>
      <c r="L2" s="2">
        <f>Engine!I2</f>
        <v>0</v>
      </c>
      <c r="M2" s="2">
        <f>J2 + K2 - I2 - L2</f>
        <v>0</v>
      </c>
      <c r="N2" s="2">
        <f>500000 + M2</f>
        <v>0</v>
      </c>
    </row>
    <row r="3" spans="1:14">
      <c r="A3" t="s">
        <v>54</v>
      </c>
      <c r="B3" s="2">
        <f>Engine!C3</f>
        <v>0</v>
      </c>
      <c r="C3" s="2">
        <f>Engine!D3</f>
        <v>0</v>
      </c>
      <c r="D3" s="2">
        <f>Engine!E3</f>
        <v>0</v>
      </c>
      <c r="E3" s="2">
        <f>B3 * DSO / 30</f>
        <v>0</v>
      </c>
      <c r="F3" s="2">
        <f>C3 * DSI / 30</f>
        <v>0</v>
      </c>
      <c r="G3" s="2">
        <f>(C3 + D3) * DPO / 30</f>
        <v>0</v>
      </c>
      <c r="H3" s="2">
        <f>E3 + F3 - G3</f>
        <v>0</v>
      </c>
      <c r="I3" s="2">
        <f>H3 - H2</f>
        <v>0</v>
      </c>
      <c r="J3" s="2">
        <f>Engine!M3</f>
        <v>0</v>
      </c>
      <c r="K3" s="2">
        <f>Engine!J3</f>
        <v>0</v>
      </c>
      <c r="L3" s="2">
        <f>Engine!I3</f>
        <v>0</v>
      </c>
      <c r="M3" s="2">
        <f>J3 + K3 - I3 - L3</f>
        <v>0</v>
      </c>
      <c r="N3" s="2">
        <f>N2 + M3</f>
        <v>0</v>
      </c>
    </row>
    <row r="4" spans="1:14">
      <c r="A4" t="s">
        <v>55</v>
      </c>
      <c r="B4" s="2">
        <f>Engine!C4</f>
        <v>0</v>
      </c>
      <c r="C4" s="2">
        <f>Engine!D4</f>
        <v>0</v>
      </c>
      <c r="D4" s="2">
        <f>Engine!E4</f>
        <v>0</v>
      </c>
      <c r="E4" s="2">
        <f>B4 * DSO / 30</f>
        <v>0</v>
      </c>
      <c r="F4" s="2">
        <f>C4 * DSI / 30</f>
        <v>0</v>
      </c>
      <c r="G4" s="2">
        <f>(C4 + D4) * DPO / 30</f>
        <v>0</v>
      </c>
      <c r="H4" s="2">
        <f>E4 + F4 - G4</f>
        <v>0</v>
      </c>
      <c r="I4" s="2">
        <f>H4 - H3</f>
        <v>0</v>
      </c>
      <c r="J4" s="2">
        <f>Engine!M4</f>
        <v>0</v>
      </c>
      <c r="K4" s="2">
        <f>Engine!J4</f>
        <v>0</v>
      </c>
      <c r="L4" s="2">
        <f>Engine!I4</f>
        <v>0</v>
      </c>
      <c r="M4" s="2">
        <f>J4 + K4 - I4 - L4</f>
        <v>0</v>
      </c>
      <c r="N4" s="2">
        <f>N3 + M4</f>
        <v>0</v>
      </c>
    </row>
    <row r="5" spans="1:14">
      <c r="A5" t="s">
        <v>56</v>
      </c>
      <c r="B5" s="2">
        <f>Engine!C5</f>
        <v>0</v>
      </c>
      <c r="C5" s="2">
        <f>Engine!D5</f>
        <v>0</v>
      </c>
      <c r="D5" s="2">
        <f>Engine!E5</f>
        <v>0</v>
      </c>
      <c r="E5" s="2">
        <f>B5 * DSO / 30</f>
        <v>0</v>
      </c>
      <c r="F5" s="2">
        <f>C5 * DSI / 30</f>
        <v>0</v>
      </c>
      <c r="G5" s="2">
        <f>(C5 + D5) * DPO / 30</f>
        <v>0</v>
      </c>
      <c r="H5" s="2">
        <f>E5 + F5 - G5</f>
        <v>0</v>
      </c>
      <c r="I5" s="2">
        <f>H5 - H4</f>
        <v>0</v>
      </c>
      <c r="J5" s="2">
        <f>Engine!M5</f>
        <v>0</v>
      </c>
      <c r="K5" s="2">
        <f>Engine!J5</f>
        <v>0</v>
      </c>
      <c r="L5" s="2">
        <f>Engine!I5</f>
        <v>0</v>
      </c>
      <c r="M5" s="2">
        <f>J5 + K5 - I5 - L5</f>
        <v>0</v>
      </c>
      <c r="N5" s="2">
        <f>N4 + M5</f>
        <v>0</v>
      </c>
    </row>
    <row r="6" spans="1:14">
      <c r="A6" t="s">
        <v>57</v>
      </c>
      <c r="B6" s="2">
        <f>Engine!C6</f>
        <v>0</v>
      </c>
      <c r="C6" s="2">
        <f>Engine!D6</f>
        <v>0</v>
      </c>
      <c r="D6" s="2">
        <f>Engine!E6</f>
        <v>0</v>
      </c>
      <c r="E6" s="2">
        <f>B6 * DSO / 30</f>
        <v>0</v>
      </c>
      <c r="F6" s="2">
        <f>C6 * DSI / 30</f>
        <v>0</v>
      </c>
      <c r="G6" s="2">
        <f>(C6 + D6) * DPO / 30</f>
        <v>0</v>
      </c>
      <c r="H6" s="2">
        <f>E6 + F6 - G6</f>
        <v>0</v>
      </c>
      <c r="I6" s="2">
        <f>H6 - H5</f>
        <v>0</v>
      </c>
      <c r="J6" s="2">
        <f>Engine!M6</f>
        <v>0</v>
      </c>
      <c r="K6" s="2">
        <f>Engine!J6</f>
        <v>0</v>
      </c>
      <c r="L6" s="2">
        <f>Engine!I6</f>
        <v>0</v>
      </c>
      <c r="M6" s="2">
        <f>J6 + K6 - I6 - L6</f>
        <v>0</v>
      </c>
      <c r="N6" s="2">
        <f>N5 + M6</f>
        <v>0</v>
      </c>
    </row>
    <row r="7" spans="1:14">
      <c r="A7" t="s">
        <v>58</v>
      </c>
      <c r="B7" s="2">
        <f>Engine!C7</f>
        <v>0</v>
      </c>
      <c r="C7" s="2">
        <f>Engine!D7</f>
        <v>0</v>
      </c>
      <c r="D7" s="2">
        <f>Engine!E7</f>
        <v>0</v>
      </c>
      <c r="E7" s="2">
        <f>B7 * DSO / 30</f>
        <v>0</v>
      </c>
      <c r="F7" s="2">
        <f>C7 * DSI / 30</f>
        <v>0</v>
      </c>
      <c r="G7" s="2">
        <f>(C7 + D7) * DPO / 30</f>
        <v>0</v>
      </c>
      <c r="H7" s="2">
        <f>E7 + F7 - G7</f>
        <v>0</v>
      </c>
      <c r="I7" s="2">
        <f>H7 - H6</f>
        <v>0</v>
      </c>
      <c r="J7" s="2">
        <f>Engine!M7</f>
        <v>0</v>
      </c>
      <c r="K7" s="2">
        <f>Engine!J7</f>
        <v>0</v>
      </c>
      <c r="L7" s="2">
        <f>Engine!I7</f>
        <v>0</v>
      </c>
      <c r="M7" s="2">
        <f>J7 + K7 - I7 - L7</f>
        <v>0</v>
      </c>
      <c r="N7" s="2">
        <f>N6 + M7</f>
        <v>0</v>
      </c>
    </row>
    <row r="8" spans="1:14">
      <c r="A8" t="s">
        <v>59</v>
      </c>
      <c r="B8" s="2">
        <f>Engine!C8</f>
        <v>0</v>
      </c>
      <c r="C8" s="2">
        <f>Engine!D8</f>
        <v>0</v>
      </c>
      <c r="D8" s="2">
        <f>Engine!E8</f>
        <v>0</v>
      </c>
      <c r="E8" s="2">
        <f>B8 * DSO / 30</f>
        <v>0</v>
      </c>
      <c r="F8" s="2">
        <f>C8 * DSI / 30</f>
        <v>0</v>
      </c>
      <c r="G8" s="2">
        <f>(C8 + D8) * DPO / 30</f>
        <v>0</v>
      </c>
      <c r="H8" s="2">
        <f>E8 + F8 - G8</f>
        <v>0</v>
      </c>
      <c r="I8" s="2">
        <f>H8 - H7</f>
        <v>0</v>
      </c>
      <c r="J8" s="2">
        <f>Engine!M8</f>
        <v>0</v>
      </c>
      <c r="K8" s="2">
        <f>Engine!J8</f>
        <v>0</v>
      </c>
      <c r="L8" s="2">
        <f>Engine!I8</f>
        <v>0</v>
      </c>
      <c r="M8" s="2">
        <f>J8 + K8 - I8 - L8</f>
        <v>0</v>
      </c>
      <c r="N8" s="2">
        <f>N7 + M8</f>
        <v>0</v>
      </c>
    </row>
    <row r="9" spans="1:14">
      <c r="A9" t="s">
        <v>60</v>
      </c>
      <c r="B9" s="2">
        <f>Engine!C9</f>
        <v>0</v>
      </c>
      <c r="C9" s="2">
        <f>Engine!D9</f>
        <v>0</v>
      </c>
      <c r="D9" s="2">
        <f>Engine!E9</f>
        <v>0</v>
      </c>
      <c r="E9" s="2">
        <f>B9 * DSO / 30</f>
        <v>0</v>
      </c>
      <c r="F9" s="2">
        <f>C9 * DSI / 30</f>
        <v>0</v>
      </c>
      <c r="G9" s="2">
        <f>(C9 + D9) * DPO / 30</f>
        <v>0</v>
      </c>
      <c r="H9" s="2">
        <f>E9 + F9 - G9</f>
        <v>0</v>
      </c>
      <c r="I9" s="2">
        <f>H9 - H8</f>
        <v>0</v>
      </c>
      <c r="J9" s="2">
        <f>Engine!M9</f>
        <v>0</v>
      </c>
      <c r="K9" s="2">
        <f>Engine!J9</f>
        <v>0</v>
      </c>
      <c r="L9" s="2">
        <f>Engine!I9</f>
        <v>0</v>
      </c>
      <c r="M9" s="2">
        <f>J9 + K9 - I9 - L9</f>
        <v>0</v>
      </c>
      <c r="N9" s="2">
        <f>N8 + M9</f>
        <v>0</v>
      </c>
    </row>
    <row r="10" spans="1:14">
      <c r="A10" t="s">
        <v>61</v>
      </c>
      <c r="B10" s="2">
        <f>Engine!C10</f>
        <v>0</v>
      </c>
      <c r="C10" s="2">
        <f>Engine!D10</f>
        <v>0</v>
      </c>
      <c r="D10" s="2">
        <f>Engine!E10</f>
        <v>0</v>
      </c>
      <c r="E10" s="2">
        <f>B10 * DSO / 30</f>
        <v>0</v>
      </c>
      <c r="F10" s="2">
        <f>C10 * DSI / 30</f>
        <v>0</v>
      </c>
      <c r="G10" s="2">
        <f>(C10 + D10) * DPO / 30</f>
        <v>0</v>
      </c>
      <c r="H10" s="2">
        <f>E10 + F10 - G10</f>
        <v>0</v>
      </c>
      <c r="I10" s="2">
        <f>H10 - H9</f>
        <v>0</v>
      </c>
      <c r="J10" s="2">
        <f>Engine!M10</f>
        <v>0</v>
      </c>
      <c r="K10" s="2">
        <f>Engine!J10</f>
        <v>0</v>
      </c>
      <c r="L10" s="2">
        <f>Engine!I10</f>
        <v>0</v>
      </c>
      <c r="M10" s="2">
        <f>J10 + K10 - I10 - L10</f>
        <v>0</v>
      </c>
      <c r="N10" s="2">
        <f>N9 + M10</f>
        <v>0</v>
      </c>
    </row>
    <row r="11" spans="1:14">
      <c r="A11" t="s">
        <v>62</v>
      </c>
      <c r="B11" s="2">
        <f>Engine!C11</f>
        <v>0</v>
      </c>
      <c r="C11" s="2">
        <f>Engine!D11</f>
        <v>0</v>
      </c>
      <c r="D11" s="2">
        <f>Engine!E11</f>
        <v>0</v>
      </c>
      <c r="E11" s="2">
        <f>B11 * DSO / 30</f>
        <v>0</v>
      </c>
      <c r="F11" s="2">
        <f>C11 * DSI / 30</f>
        <v>0</v>
      </c>
      <c r="G11" s="2">
        <f>(C11 + D11) * DPO / 30</f>
        <v>0</v>
      </c>
      <c r="H11" s="2">
        <f>E11 + F11 - G11</f>
        <v>0</v>
      </c>
      <c r="I11" s="2">
        <f>H11 - H10</f>
        <v>0</v>
      </c>
      <c r="J11" s="2">
        <f>Engine!M11</f>
        <v>0</v>
      </c>
      <c r="K11" s="2">
        <f>Engine!J11</f>
        <v>0</v>
      </c>
      <c r="L11" s="2">
        <f>Engine!I11</f>
        <v>0</v>
      </c>
      <c r="M11" s="2">
        <f>J11 + K11 - I11 - L11</f>
        <v>0</v>
      </c>
      <c r="N11" s="2">
        <f>N10 + M11</f>
        <v>0</v>
      </c>
    </row>
    <row r="12" spans="1:14">
      <c r="A12" t="s">
        <v>63</v>
      </c>
      <c r="B12" s="2">
        <f>Engine!C12</f>
        <v>0</v>
      </c>
      <c r="C12" s="2">
        <f>Engine!D12</f>
        <v>0</v>
      </c>
      <c r="D12" s="2">
        <f>Engine!E12</f>
        <v>0</v>
      </c>
      <c r="E12" s="2">
        <f>B12 * DSO / 30</f>
        <v>0</v>
      </c>
      <c r="F12" s="2">
        <f>C12 * DSI / 30</f>
        <v>0</v>
      </c>
      <c r="G12" s="2">
        <f>(C12 + D12) * DPO / 30</f>
        <v>0</v>
      </c>
      <c r="H12" s="2">
        <f>E12 + F12 - G12</f>
        <v>0</v>
      </c>
      <c r="I12" s="2">
        <f>H12 - H11</f>
        <v>0</v>
      </c>
      <c r="J12" s="2">
        <f>Engine!M12</f>
        <v>0</v>
      </c>
      <c r="K12" s="2">
        <f>Engine!J12</f>
        <v>0</v>
      </c>
      <c r="L12" s="2">
        <f>Engine!I12</f>
        <v>0</v>
      </c>
      <c r="M12" s="2">
        <f>J12 + K12 - I12 - L12</f>
        <v>0</v>
      </c>
      <c r="N12" s="2">
        <f>N11 + M12</f>
        <v>0</v>
      </c>
    </row>
    <row r="13" spans="1:14">
      <c r="A13" t="s">
        <v>64</v>
      </c>
      <c r="B13" s="2">
        <f>Engine!C13</f>
        <v>0</v>
      </c>
      <c r="C13" s="2">
        <f>Engine!D13</f>
        <v>0</v>
      </c>
      <c r="D13" s="2">
        <f>Engine!E13</f>
        <v>0</v>
      </c>
      <c r="E13" s="2">
        <f>B13 * DSO / 30</f>
        <v>0</v>
      </c>
      <c r="F13" s="2">
        <f>C13 * DSI / 30</f>
        <v>0</v>
      </c>
      <c r="G13" s="2">
        <f>(C13 + D13) * DPO / 30</f>
        <v>0</v>
      </c>
      <c r="H13" s="2">
        <f>E13 + F13 - G13</f>
        <v>0</v>
      </c>
      <c r="I13" s="2">
        <f>H13 - H12</f>
        <v>0</v>
      </c>
      <c r="J13" s="2">
        <f>Engine!M13</f>
        <v>0</v>
      </c>
      <c r="K13" s="2">
        <f>Engine!J13</f>
        <v>0</v>
      </c>
      <c r="L13" s="2">
        <f>Engine!I13</f>
        <v>0</v>
      </c>
      <c r="M13" s="2">
        <f>J13 + K13 - I13 - L13</f>
        <v>0</v>
      </c>
      <c r="N13" s="2">
        <f>N12 + M13</f>
        <v>0</v>
      </c>
    </row>
    <row r="14" spans="1:14">
      <c r="A14" t="s">
        <v>65</v>
      </c>
      <c r="B14" s="2">
        <f>Engine!C14</f>
        <v>0</v>
      </c>
      <c r="C14" s="2">
        <f>Engine!D14</f>
        <v>0</v>
      </c>
      <c r="D14" s="2">
        <f>Engine!E14</f>
        <v>0</v>
      </c>
      <c r="E14" s="2">
        <f>B14 * DSO / 30</f>
        <v>0</v>
      </c>
      <c r="F14" s="2">
        <f>C14 * DSI / 30</f>
        <v>0</v>
      </c>
      <c r="G14" s="2">
        <f>(C14 + D14) * DPO / 30</f>
        <v>0</v>
      </c>
      <c r="H14" s="2">
        <f>E14 + F14 - G14</f>
        <v>0</v>
      </c>
      <c r="I14" s="2">
        <f>H14 - H13</f>
        <v>0</v>
      </c>
      <c r="J14" s="2">
        <f>Engine!M14</f>
        <v>0</v>
      </c>
      <c r="K14" s="2">
        <f>Engine!J14</f>
        <v>0</v>
      </c>
      <c r="L14" s="2">
        <f>Engine!I14</f>
        <v>0</v>
      </c>
      <c r="M14" s="2">
        <f>J14 + K14 - I14 - L14</f>
        <v>0</v>
      </c>
      <c r="N14" s="2">
        <f>N13 + M14</f>
        <v>0</v>
      </c>
    </row>
    <row r="15" spans="1:14">
      <c r="A15" t="s">
        <v>66</v>
      </c>
      <c r="B15" s="2">
        <f>Engine!C15</f>
        <v>0</v>
      </c>
      <c r="C15" s="2">
        <f>Engine!D15</f>
        <v>0</v>
      </c>
      <c r="D15" s="2">
        <f>Engine!E15</f>
        <v>0</v>
      </c>
      <c r="E15" s="2">
        <f>B15 * DSO / 30</f>
        <v>0</v>
      </c>
      <c r="F15" s="2">
        <f>C15 * DSI / 30</f>
        <v>0</v>
      </c>
      <c r="G15" s="2">
        <f>(C15 + D15) * DPO / 30</f>
        <v>0</v>
      </c>
      <c r="H15" s="2">
        <f>E15 + F15 - G15</f>
        <v>0</v>
      </c>
      <c r="I15" s="2">
        <f>H15 - H14</f>
        <v>0</v>
      </c>
      <c r="J15" s="2">
        <f>Engine!M15</f>
        <v>0</v>
      </c>
      <c r="K15" s="2">
        <f>Engine!J15</f>
        <v>0</v>
      </c>
      <c r="L15" s="2">
        <f>Engine!I15</f>
        <v>0</v>
      </c>
      <c r="M15" s="2">
        <f>J15 + K15 - I15 - L15</f>
        <v>0</v>
      </c>
      <c r="N15" s="2">
        <f>N14 + M15</f>
        <v>0</v>
      </c>
    </row>
    <row r="16" spans="1:14">
      <c r="A16" t="s">
        <v>67</v>
      </c>
      <c r="B16" s="2">
        <f>Engine!C16</f>
        <v>0</v>
      </c>
      <c r="C16" s="2">
        <f>Engine!D16</f>
        <v>0</v>
      </c>
      <c r="D16" s="2">
        <f>Engine!E16</f>
        <v>0</v>
      </c>
      <c r="E16" s="2">
        <f>B16 * DSO / 30</f>
        <v>0</v>
      </c>
      <c r="F16" s="2">
        <f>C16 * DSI / 30</f>
        <v>0</v>
      </c>
      <c r="G16" s="2">
        <f>(C16 + D16) * DPO / 30</f>
        <v>0</v>
      </c>
      <c r="H16" s="2">
        <f>E16 + F16 - G16</f>
        <v>0</v>
      </c>
      <c r="I16" s="2">
        <f>H16 - H15</f>
        <v>0</v>
      </c>
      <c r="J16" s="2">
        <f>Engine!M16</f>
        <v>0</v>
      </c>
      <c r="K16" s="2">
        <f>Engine!J16</f>
        <v>0</v>
      </c>
      <c r="L16" s="2">
        <f>Engine!I16</f>
        <v>0</v>
      </c>
      <c r="M16" s="2">
        <f>J16 + K16 - I16 - L16</f>
        <v>0</v>
      </c>
      <c r="N16" s="2">
        <f>N15 + M16</f>
        <v>0</v>
      </c>
    </row>
    <row r="17" spans="1:14">
      <c r="A17" t="s">
        <v>68</v>
      </c>
      <c r="B17" s="2">
        <f>Engine!C17</f>
        <v>0</v>
      </c>
      <c r="C17" s="2">
        <f>Engine!D17</f>
        <v>0</v>
      </c>
      <c r="D17" s="2">
        <f>Engine!E17</f>
        <v>0</v>
      </c>
      <c r="E17" s="2">
        <f>B17 * DSO / 30</f>
        <v>0</v>
      </c>
      <c r="F17" s="2">
        <f>C17 * DSI / 30</f>
        <v>0</v>
      </c>
      <c r="G17" s="2">
        <f>(C17 + D17) * DPO / 30</f>
        <v>0</v>
      </c>
      <c r="H17" s="2">
        <f>E17 + F17 - G17</f>
        <v>0</v>
      </c>
      <c r="I17" s="2">
        <f>H17 - H16</f>
        <v>0</v>
      </c>
      <c r="J17" s="2">
        <f>Engine!M17</f>
        <v>0</v>
      </c>
      <c r="K17" s="2">
        <f>Engine!J17</f>
        <v>0</v>
      </c>
      <c r="L17" s="2">
        <f>Engine!I17</f>
        <v>0</v>
      </c>
      <c r="M17" s="2">
        <f>J17 + K17 - I17 - L17</f>
        <v>0</v>
      </c>
      <c r="N17" s="2">
        <f>N16 + M17</f>
        <v>0</v>
      </c>
    </row>
    <row r="18" spans="1:14">
      <c r="A18" t="s">
        <v>69</v>
      </c>
      <c r="B18" s="2">
        <f>Engine!C18</f>
        <v>0</v>
      </c>
      <c r="C18" s="2">
        <f>Engine!D18</f>
        <v>0</v>
      </c>
      <c r="D18" s="2">
        <f>Engine!E18</f>
        <v>0</v>
      </c>
      <c r="E18" s="2">
        <f>B18 * DSO / 30</f>
        <v>0</v>
      </c>
      <c r="F18" s="2">
        <f>C18 * DSI / 30</f>
        <v>0</v>
      </c>
      <c r="G18" s="2">
        <f>(C18 + D18) * DPO / 30</f>
        <v>0</v>
      </c>
      <c r="H18" s="2">
        <f>E18 + F18 - G18</f>
        <v>0</v>
      </c>
      <c r="I18" s="2">
        <f>H18 - H17</f>
        <v>0</v>
      </c>
      <c r="J18" s="2">
        <f>Engine!M18</f>
        <v>0</v>
      </c>
      <c r="K18" s="2">
        <f>Engine!J18</f>
        <v>0</v>
      </c>
      <c r="L18" s="2">
        <f>Engine!I18</f>
        <v>0</v>
      </c>
      <c r="M18" s="2">
        <f>J18 + K18 - I18 - L18</f>
        <v>0</v>
      </c>
      <c r="N18" s="2">
        <f>N17 + M18</f>
        <v>0</v>
      </c>
    </row>
    <row r="19" spans="1:14">
      <c r="A19" t="s">
        <v>70</v>
      </c>
      <c r="B19" s="2">
        <f>Engine!C19</f>
        <v>0</v>
      </c>
      <c r="C19" s="2">
        <f>Engine!D19</f>
        <v>0</v>
      </c>
      <c r="D19" s="2">
        <f>Engine!E19</f>
        <v>0</v>
      </c>
      <c r="E19" s="2">
        <f>B19 * DSO / 30</f>
        <v>0</v>
      </c>
      <c r="F19" s="2">
        <f>C19 * DSI / 30</f>
        <v>0</v>
      </c>
      <c r="G19" s="2">
        <f>(C19 + D19) * DPO / 30</f>
        <v>0</v>
      </c>
      <c r="H19" s="2">
        <f>E19 + F19 - G19</f>
        <v>0</v>
      </c>
      <c r="I19" s="2">
        <f>H19 - H18</f>
        <v>0</v>
      </c>
      <c r="J19" s="2">
        <f>Engine!M19</f>
        <v>0</v>
      </c>
      <c r="K19" s="2">
        <f>Engine!J19</f>
        <v>0</v>
      </c>
      <c r="L19" s="2">
        <f>Engine!I19</f>
        <v>0</v>
      </c>
      <c r="M19" s="2">
        <f>J19 + K19 - I19 - L19</f>
        <v>0</v>
      </c>
      <c r="N19" s="2">
        <f>N18 + M19</f>
        <v>0</v>
      </c>
    </row>
    <row r="20" spans="1:14">
      <c r="A20" t="s">
        <v>71</v>
      </c>
      <c r="B20" s="2">
        <f>Engine!C20</f>
        <v>0</v>
      </c>
      <c r="C20" s="2">
        <f>Engine!D20</f>
        <v>0</v>
      </c>
      <c r="D20" s="2">
        <f>Engine!E20</f>
        <v>0</v>
      </c>
      <c r="E20" s="2">
        <f>B20 * DSO / 30</f>
        <v>0</v>
      </c>
      <c r="F20" s="2">
        <f>C20 * DSI / 30</f>
        <v>0</v>
      </c>
      <c r="G20" s="2">
        <f>(C20 + D20) * DPO / 30</f>
        <v>0</v>
      </c>
      <c r="H20" s="2">
        <f>E20 + F20 - G20</f>
        <v>0</v>
      </c>
      <c r="I20" s="2">
        <f>H20 - H19</f>
        <v>0</v>
      </c>
      <c r="J20" s="2">
        <f>Engine!M20</f>
        <v>0</v>
      </c>
      <c r="K20" s="2">
        <f>Engine!J20</f>
        <v>0</v>
      </c>
      <c r="L20" s="2">
        <f>Engine!I20</f>
        <v>0</v>
      </c>
      <c r="M20" s="2">
        <f>J20 + K20 - I20 - L20</f>
        <v>0</v>
      </c>
      <c r="N20" s="2">
        <f>N19 + M20</f>
        <v>0</v>
      </c>
    </row>
    <row r="21" spans="1:14">
      <c r="A21" t="s">
        <v>72</v>
      </c>
      <c r="B21" s="2">
        <f>Engine!C21</f>
        <v>0</v>
      </c>
      <c r="C21" s="2">
        <f>Engine!D21</f>
        <v>0</v>
      </c>
      <c r="D21" s="2">
        <f>Engine!E21</f>
        <v>0</v>
      </c>
      <c r="E21" s="2">
        <f>B21 * DSO / 30</f>
        <v>0</v>
      </c>
      <c r="F21" s="2">
        <f>C21 * DSI / 30</f>
        <v>0</v>
      </c>
      <c r="G21" s="2">
        <f>(C21 + D21) * DPO / 30</f>
        <v>0</v>
      </c>
      <c r="H21" s="2">
        <f>E21 + F21 - G21</f>
        <v>0</v>
      </c>
      <c r="I21" s="2">
        <f>H21 - H20</f>
        <v>0</v>
      </c>
      <c r="J21" s="2">
        <f>Engine!M21</f>
        <v>0</v>
      </c>
      <c r="K21" s="2">
        <f>Engine!J21</f>
        <v>0</v>
      </c>
      <c r="L21" s="2">
        <f>Engine!I21</f>
        <v>0</v>
      </c>
      <c r="M21" s="2">
        <f>J21 + K21 - I21 - L21</f>
        <v>0</v>
      </c>
      <c r="N21" s="2">
        <f>N20 + M21</f>
        <v>0</v>
      </c>
    </row>
    <row r="22" spans="1:14">
      <c r="A22" t="s">
        <v>73</v>
      </c>
      <c r="B22" s="2">
        <f>Engine!C22</f>
        <v>0</v>
      </c>
      <c r="C22" s="2">
        <f>Engine!D22</f>
        <v>0</v>
      </c>
      <c r="D22" s="2">
        <f>Engine!E22</f>
        <v>0</v>
      </c>
      <c r="E22" s="2">
        <f>B22 * DSO / 30</f>
        <v>0</v>
      </c>
      <c r="F22" s="2">
        <f>C22 * DSI / 30</f>
        <v>0</v>
      </c>
      <c r="G22" s="2">
        <f>(C22 + D22) * DPO / 30</f>
        <v>0</v>
      </c>
      <c r="H22" s="2">
        <f>E22 + F22 - G22</f>
        <v>0</v>
      </c>
      <c r="I22" s="2">
        <f>H22 - H21</f>
        <v>0</v>
      </c>
      <c r="J22" s="2">
        <f>Engine!M22</f>
        <v>0</v>
      </c>
      <c r="K22" s="2">
        <f>Engine!J22</f>
        <v>0</v>
      </c>
      <c r="L22" s="2">
        <f>Engine!I22</f>
        <v>0</v>
      </c>
      <c r="M22" s="2">
        <f>J22 + K22 - I22 - L22</f>
        <v>0</v>
      </c>
      <c r="N22" s="2">
        <f>N21 + M22</f>
        <v>0</v>
      </c>
    </row>
    <row r="23" spans="1:14">
      <c r="A23" t="s">
        <v>74</v>
      </c>
      <c r="B23" s="2">
        <f>Engine!C23</f>
        <v>0</v>
      </c>
      <c r="C23" s="2">
        <f>Engine!D23</f>
        <v>0</v>
      </c>
      <c r="D23" s="2">
        <f>Engine!E23</f>
        <v>0</v>
      </c>
      <c r="E23" s="2">
        <f>B23 * DSO / 30</f>
        <v>0</v>
      </c>
      <c r="F23" s="2">
        <f>C23 * DSI / 30</f>
        <v>0</v>
      </c>
      <c r="G23" s="2">
        <f>(C23 + D23) * DPO / 30</f>
        <v>0</v>
      </c>
      <c r="H23" s="2">
        <f>E23 + F23 - G23</f>
        <v>0</v>
      </c>
      <c r="I23" s="2">
        <f>H23 - H22</f>
        <v>0</v>
      </c>
      <c r="J23" s="2">
        <f>Engine!M23</f>
        <v>0</v>
      </c>
      <c r="K23" s="2">
        <f>Engine!J23</f>
        <v>0</v>
      </c>
      <c r="L23" s="2">
        <f>Engine!I23</f>
        <v>0</v>
      </c>
      <c r="M23" s="2">
        <f>J23 + K23 - I23 - L23</f>
        <v>0</v>
      </c>
      <c r="N23" s="2">
        <f>N22 + M23</f>
        <v>0</v>
      </c>
    </row>
    <row r="24" spans="1:14">
      <c r="A24" t="s">
        <v>75</v>
      </c>
      <c r="B24" s="2">
        <f>Engine!C24</f>
        <v>0</v>
      </c>
      <c r="C24" s="2">
        <f>Engine!D24</f>
        <v>0</v>
      </c>
      <c r="D24" s="2">
        <f>Engine!E24</f>
        <v>0</v>
      </c>
      <c r="E24" s="2">
        <f>B24 * DSO / 30</f>
        <v>0</v>
      </c>
      <c r="F24" s="2">
        <f>C24 * DSI / 30</f>
        <v>0</v>
      </c>
      <c r="G24" s="2">
        <f>(C24 + D24) * DPO / 30</f>
        <v>0</v>
      </c>
      <c r="H24" s="2">
        <f>E24 + F24 - G24</f>
        <v>0</v>
      </c>
      <c r="I24" s="2">
        <f>H24 - H23</f>
        <v>0</v>
      </c>
      <c r="J24" s="2">
        <f>Engine!M24</f>
        <v>0</v>
      </c>
      <c r="K24" s="2">
        <f>Engine!J24</f>
        <v>0</v>
      </c>
      <c r="L24" s="2">
        <f>Engine!I24</f>
        <v>0</v>
      </c>
      <c r="M24" s="2">
        <f>J24 + K24 - I24 - L24</f>
        <v>0</v>
      </c>
      <c r="N24" s="2">
        <f>N23 + M24</f>
        <v>0</v>
      </c>
    </row>
    <row r="25" spans="1:14">
      <c r="A25" t="s">
        <v>76</v>
      </c>
      <c r="B25" s="2">
        <f>Engine!C25</f>
        <v>0</v>
      </c>
      <c r="C25" s="2">
        <f>Engine!D25</f>
        <v>0</v>
      </c>
      <c r="D25" s="2">
        <f>Engine!E25</f>
        <v>0</v>
      </c>
      <c r="E25" s="2">
        <f>B25 * DSO / 30</f>
        <v>0</v>
      </c>
      <c r="F25" s="2">
        <f>C25 * DSI / 30</f>
        <v>0</v>
      </c>
      <c r="G25" s="2">
        <f>(C25 + D25) * DPO / 30</f>
        <v>0</v>
      </c>
      <c r="H25" s="2">
        <f>E25 + F25 - G25</f>
        <v>0</v>
      </c>
      <c r="I25" s="2">
        <f>H25 - H24</f>
        <v>0</v>
      </c>
      <c r="J25" s="2">
        <f>Engine!M25</f>
        <v>0</v>
      </c>
      <c r="K25" s="2">
        <f>Engine!J25</f>
        <v>0</v>
      </c>
      <c r="L25" s="2">
        <f>Engine!I25</f>
        <v>0</v>
      </c>
      <c r="M25" s="2">
        <f>J25 + K25 - I25 - L25</f>
        <v>0</v>
      </c>
      <c r="N25" s="2">
        <f>N24 + M25</f>
        <v>0</v>
      </c>
    </row>
    <row r="26" spans="1:14">
      <c r="A26" t="s">
        <v>77</v>
      </c>
      <c r="B26" s="2">
        <f>Engine!C26</f>
        <v>0</v>
      </c>
      <c r="C26" s="2">
        <f>Engine!D26</f>
        <v>0</v>
      </c>
      <c r="D26" s="2">
        <f>Engine!E26</f>
        <v>0</v>
      </c>
      <c r="E26" s="2">
        <f>B26 * DSO / 30</f>
        <v>0</v>
      </c>
      <c r="F26" s="2">
        <f>C26 * DSI / 30</f>
        <v>0</v>
      </c>
      <c r="G26" s="2">
        <f>(C26 + D26) * DPO / 30</f>
        <v>0</v>
      </c>
      <c r="H26" s="2">
        <f>E26 + F26 - G26</f>
        <v>0</v>
      </c>
      <c r="I26" s="2">
        <f>H26 - H25</f>
        <v>0</v>
      </c>
      <c r="J26" s="2">
        <f>Engine!M26</f>
        <v>0</v>
      </c>
      <c r="K26" s="2">
        <f>Engine!J26</f>
        <v>0</v>
      </c>
      <c r="L26" s="2">
        <f>Engine!I26</f>
        <v>0</v>
      </c>
      <c r="M26" s="2">
        <f>J26 + K26 - I26 - L26</f>
        <v>0</v>
      </c>
      <c r="N26" s="2">
        <f>N25 + M26</f>
        <v>0</v>
      </c>
    </row>
    <row r="27" spans="1:14">
      <c r="A27" t="s">
        <v>78</v>
      </c>
      <c r="B27" s="2">
        <f>Engine!C27</f>
        <v>0</v>
      </c>
      <c r="C27" s="2">
        <f>Engine!D27</f>
        <v>0</v>
      </c>
      <c r="D27" s="2">
        <f>Engine!E27</f>
        <v>0</v>
      </c>
      <c r="E27" s="2">
        <f>B27 * DSO / 30</f>
        <v>0</v>
      </c>
      <c r="F27" s="2">
        <f>C27 * DSI / 30</f>
        <v>0</v>
      </c>
      <c r="G27" s="2">
        <f>(C27 + D27) * DPO / 30</f>
        <v>0</v>
      </c>
      <c r="H27" s="2">
        <f>E27 + F27 - G27</f>
        <v>0</v>
      </c>
      <c r="I27" s="2">
        <f>H27 - H26</f>
        <v>0</v>
      </c>
      <c r="J27" s="2">
        <f>Engine!M27</f>
        <v>0</v>
      </c>
      <c r="K27" s="2">
        <f>Engine!J27</f>
        <v>0</v>
      </c>
      <c r="L27" s="2">
        <f>Engine!I27</f>
        <v>0</v>
      </c>
      <c r="M27" s="2">
        <f>J27 + K27 - I27 - L27</f>
        <v>0</v>
      </c>
      <c r="N27" s="2">
        <f>N26 + M27</f>
        <v>0</v>
      </c>
    </row>
    <row r="28" spans="1:14">
      <c r="A28" t="s">
        <v>79</v>
      </c>
      <c r="B28" s="2">
        <f>Engine!C28</f>
        <v>0</v>
      </c>
      <c r="C28" s="2">
        <f>Engine!D28</f>
        <v>0</v>
      </c>
      <c r="D28" s="2">
        <f>Engine!E28</f>
        <v>0</v>
      </c>
      <c r="E28" s="2">
        <f>B28 * DSO / 30</f>
        <v>0</v>
      </c>
      <c r="F28" s="2">
        <f>C28 * DSI / 30</f>
        <v>0</v>
      </c>
      <c r="G28" s="2">
        <f>(C28 + D28) * DPO / 30</f>
        <v>0</v>
      </c>
      <c r="H28" s="2">
        <f>E28 + F28 - G28</f>
        <v>0</v>
      </c>
      <c r="I28" s="2">
        <f>H28 - H27</f>
        <v>0</v>
      </c>
      <c r="J28" s="2">
        <f>Engine!M28</f>
        <v>0</v>
      </c>
      <c r="K28" s="2">
        <f>Engine!J28</f>
        <v>0</v>
      </c>
      <c r="L28" s="2">
        <f>Engine!I28</f>
        <v>0</v>
      </c>
      <c r="M28" s="2">
        <f>J28 + K28 - I28 - L28</f>
        <v>0</v>
      </c>
      <c r="N28" s="2">
        <f>N27 + M28</f>
        <v>0</v>
      </c>
    </row>
    <row r="29" spans="1:14">
      <c r="A29" t="s">
        <v>80</v>
      </c>
      <c r="B29" s="2">
        <f>Engine!C29</f>
        <v>0</v>
      </c>
      <c r="C29" s="2">
        <f>Engine!D29</f>
        <v>0</v>
      </c>
      <c r="D29" s="2">
        <f>Engine!E29</f>
        <v>0</v>
      </c>
      <c r="E29" s="2">
        <f>B29 * DSO / 30</f>
        <v>0</v>
      </c>
      <c r="F29" s="2">
        <f>C29 * DSI / 30</f>
        <v>0</v>
      </c>
      <c r="G29" s="2">
        <f>(C29 + D29) * DPO / 30</f>
        <v>0</v>
      </c>
      <c r="H29" s="2">
        <f>E29 + F29 - G29</f>
        <v>0</v>
      </c>
      <c r="I29" s="2">
        <f>H29 - H28</f>
        <v>0</v>
      </c>
      <c r="J29" s="2">
        <f>Engine!M29</f>
        <v>0</v>
      </c>
      <c r="K29" s="2">
        <f>Engine!J29</f>
        <v>0</v>
      </c>
      <c r="L29" s="2">
        <f>Engine!I29</f>
        <v>0</v>
      </c>
      <c r="M29" s="2">
        <f>J29 + K29 - I29 - L29</f>
        <v>0</v>
      </c>
      <c r="N29" s="2">
        <f>N28 + M29</f>
        <v>0</v>
      </c>
    </row>
    <row r="30" spans="1:14">
      <c r="A30" t="s">
        <v>81</v>
      </c>
      <c r="B30" s="2">
        <f>Engine!C30</f>
        <v>0</v>
      </c>
      <c r="C30" s="2">
        <f>Engine!D30</f>
        <v>0</v>
      </c>
      <c r="D30" s="2">
        <f>Engine!E30</f>
        <v>0</v>
      </c>
      <c r="E30" s="2">
        <f>B30 * DSO / 30</f>
        <v>0</v>
      </c>
      <c r="F30" s="2">
        <f>C30 * DSI / 30</f>
        <v>0</v>
      </c>
      <c r="G30" s="2">
        <f>(C30 + D30) * DPO / 30</f>
        <v>0</v>
      </c>
      <c r="H30" s="2">
        <f>E30 + F30 - G30</f>
        <v>0</v>
      </c>
      <c r="I30" s="2">
        <f>H30 - H29</f>
        <v>0</v>
      </c>
      <c r="J30" s="2">
        <f>Engine!M30</f>
        <v>0</v>
      </c>
      <c r="K30" s="2">
        <f>Engine!J30</f>
        <v>0</v>
      </c>
      <c r="L30" s="2">
        <f>Engine!I30</f>
        <v>0</v>
      </c>
      <c r="M30" s="2">
        <f>J30 + K30 - I30 - L30</f>
        <v>0</v>
      </c>
      <c r="N30" s="2">
        <f>N29 + M30</f>
        <v>0</v>
      </c>
    </row>
    <row r="31" spans="1:14">
      <c r="A31" t="s">
        <v>82</v>
      </c>
      <c r="B31" s="2">
        <f>Engine!C31</f>
        <v>0</v>
      </c>
      <c r="C31" s="2">
        <f>Engine!D31</f>
        <v>0</v>
      </c>
      <c r="D31" s="2">
        <f>Engine!E31</f>
        <v>0</v>
      </c>
      <c r="E31" s="2">
        <f>B31 * DSO / 30</f>
        <v>0</v>
      </c>
      <c r="F31" s="2">
        <f>C31 * DSI / 30</f>
        <v>0</v>
      </c>
      <c r="G31" s="2">
        <f>(C31 + D31) * DPO / 30</f>
        <v>0</v>
      </c>
      <c r="H31" s="2">
        <f>E31 + F31 - G31</f>
        <v>0</v>
      </c>
      <c r="I31" s="2">
        <f>H31 - H30</f>
        <v>0</v>
      </c>
      <c r="J31" s="2">
        <f>Engine!M31</f>
        <v>0</v>
      </c>
      <c r="K31" s="2">
        <f>Engine!J31</f>
        <v>0</v>
      </c>
      <c r="L31" s="2">
        <f>Engine!I31</f>
        <v>0</v>
      </c>
      <c r="M31" s="2">
        <f>J31 + K31 - I31 - L31</f>
        <v>0</v>
      </c>
      <c r="N31" s="2">
        <f>N30 + M31</f>
        <v>0</v>
      </c>
    </row>
    <row r="32" spans="1:14">
      <c r="A32" t="s">
        <v>83</v>
      </c>
      <c r="B32" s="2">
        <f>Engine!C32</f>
        <v>0</v>
      </c>
      <c r="C32" s="2">
        <f>Engine!D32</f>
        <v>0</v>
      </c>
      <c r="D32" s="2">
        <f>Engine!E32</f>
        <v>0</v>
      </c>
      <c r="E32" s="2">
        <f>B32 * DSO / 30</f>
        <v>0</v>
      </c>
      <c r="F32" s="2">
        <f>C32 * DSI / 30</f>
        <v>0</v>
      </c>
      <c r="G32" s="2">
        <f>(C32 + D32) * DPO / 30</f>
        <v>0</v>
      </c>
      <c r="H32" s="2">
        <f>E32 + F32 - G32</f>
        <v>0</v>
      </c>
      <c r="I32" s="2">
        <f>H32 - H31</f>
        <v>0</v>
      </c>
      <c r="J32" s="2">
        <f>Engine!M32</f>
        <v>0</v>
      </c>
      <c r="K32" s="2">
        <f>Engine!J32</f>
        <v>0</v>
      </c>
      <c r="L32" s="2">
        <f>Engine!I32</f>
        <v>0</v>
      </c>
      <c r="M32" s="2">
        <f>J32 + K32 - I32 - L32</f>
        <v>0</v>
      </c>
      <c r="N32" s="2">
        <f>N31 + M32</f>
        <v>0</v>
      </c>
    </row>
    <row r="33" spans="1:14">
      <c r="A33" t="s">
        <v>84</v>
      </c>
      <c r="B33" s="2">
        <f>Engine!C33</f>
        <v>0</v>
      </c>
      <c r="C33" s="2">
        <f>Engine!D33</f>
        <v>0</v>
      </c>
      <c r="D33" s="2">
        <f>Engine!E33</f>
        <v>0</v>
      </c>
      <c r="E33" s="2">
        <f>B33 * DSO / 30</f>
        <v>0</v>
      </c>
      <c r="F33" s="2">
        <f>C33 * DSI / 30</f>
        <v>0</v>
      </c>
      <c r="G33" s="2">
        <f>(C33 + D33) * DPO / 30</f>
        <v>0</v>
      </c>
      <c r="H33" s="2">
        <f>E33 + F33 - G33</f>
        <v>0</v>
      </c>
      <c r="I33" s="2">
        <f>H33 - H32</f>
        <v>0</v>
      </c>
      <c r="J33" s="2">
        <f>Engine!M33</f>
        <v>0</v>
      </c>
      <c r="K33" s="2">
        <f>Engine!J33</f>
        <v>0</v>
      </c>
      <c r="L33" s="2">
        <f>Engine!I33</f>
        <v>0</v>
      </c>
      <c r="M33" s="2">
        <f>J33 + K33 - I33 - L33</f>
        <v>0</v>
      </c>
      <c r="N33" s="2">
        <f>N32 + M33</f>
        <v>0</v>
      </c>
    </row>
    <row r="34" spans="1:14">
      <c r="A34" t="s">
        <v>85</v>
      </c>
      <c r="B34" s="2">
        <f>Engine!C34</f>
        <v>0</v>
      </c>
      <c r="C34" s="2">
        <f>Engine!D34</f>
        <v>0</v>
      </c>
      <c r="D34" s="2">
        <f>Engine!E34</f>
        <v>0</v>
      </c>
      <c r="E34" s="2">
        <f>B34 * DSO / 30</f>
        <v>0</v>
      </c>
      <c r="F34" s="2">
        <f>C34 * DSI / 30</f>
        <v>0</v>
      </c>
      <c r="G34" s="2">
        <f>(C34 + D34) * DPO / 30</f>
        <v>0</v>
      </c>
      <c r="H34" s="2">
        <f>E34 + F34 - G34</f>
        <v>0</v>
      </c>
      <c r="I34" s="2">
        <f>H34 - H33</f>
        <v>0</v>
      </c>
      <c r="J34" s="2">
        <f>Engine!M34</f>
        <v>0</v>
      </c>
      <c r="K34" s="2">
        <f>Engine!J34</f>
        <v>0</v>
      </c>
      <c r="L34" s="2">
        <f>Engine!I34</f>
        <v>0</v>
      </c>
      <c r="M34" s="2">
        <f>J34 + K34 - I34 - L34</f>
        <v>0</v>
      </c>
      <c r="N34" s="2">
        <f>N33 + M34</f>
        <v>0</v>
      </c>
    </row>
    <row r="35" spans="1:14">
      <c r="A35" t="s">
        <v>86</v>
      </c>
      <c r="B35" s="2">
        <f>Engine!C35</f>
        <v>0</v>
      </c>
      <c r="C35" s="2">
        <f>Engine!D35</f>
        <v>0</v>
      </c>
      <c r="D35" s="2">
        <f>Engine!E35</f>
        <v>0</v>
      </c>
      <c r="E35" s="2">
        <f>B35 * DSO / 30</f>
        <v>0</v>
      </c>
      <c r="F35" s="2">
        <f>C35 * DSI / 30</f>
        <v>0</v>
      </c>
      <c r="G35" s="2">
        <f>(C35 + D35) * DPO / 30</f>
        <v>0</v>
      </c>
      <c r="H35" s="2">
        <f>E35 + F35 - G35</f>
        <v>0</v>
      </c>
      <c r="I35" s="2">
        <f>H35 - H34</f>
        <v>0</v>
      </c>
      <c r="J35" s="2">
        <f>Engine!M35</f>
        <v>0</v>
      </c>
      <c r="K35" s="2">
        <f>Engine!J35</f>
        <v>0</v>
      </c>
      <c r="L35" s="2">
        <f>Engine!I35</f>
        <v>0</v>
      </c>
      <c r="M35" s="2">
        <f>J35 + K35 - I35 - L35</f>
        <v>0</v>
      </c>
      <c r="N35" s="2">
        <f>N34 + M35</f>
        <v>0</v>
      </c>
    </row>
    <row r="36" spans="1:14">
      <c r="A36" t="s">
        <v>87</v>
      </c>
      <c r="B36" s="2">
        <f>Engine!C36</f>
        <v>0</v>
      </c>
      <c r="C36" s="2">
        <f>Engine!D36</f>
        <v>0</v>
      </c>
      <c r="D36" s="2">
        <f>Engine!E36</f>
        <v>0</v>
      </c>
      <c r="E36" s="2">
        <f>B36 * DSO / 30</f>
        <v>0</v>
      </c>
      <c r="F36" s="2">
        <f>C36 * DSI / 30</f>
        <v>0</v>
      </c>
      <c r="G36" s="2">
        <f>(C36 + D36) * DPO / 30</f>
        <v>0</v>
      </c>
      <c r="H36" s="2">
        <f>E36 + F36 - G36</f>
        <v>0</v>
      </c>
      <c r="I36" s="2">
        <f>H36 - H35</f>
        <v>0</v>
      </c>
      <c r="J36" s="2">
        <f>Engine!M36</f>
        <v>0</v>
      </c>
      <c r="K36" s="2">
        <f>Engine!J36</f>
        <v>0</v>
      </c>
      <c r="L36" s="2">
        <f>Engine!I36</f>
        <v>0</v>
      </c>
      <c r="M36" s="2">
        <f>J36 + K36 - I36 - L36</f>
        <v>0</v>
      </c>
      <c r="N36" s="2">
        <f>N35 + M36</f>
        <v>0</v>
      </c>
    </row>
    <row r="37" spans="1:14">
      <c r="A37" t="s">
        <v>88</v>
      </c>
      <c r="B37" s="2">
        <f>Engine!C37</f>
        <v>0</v>
      </c>
      <c r="C37" s="2">
        <f>Engine!D37</f>
        <v>0</v>
      </c>
      <c r="D37" s="2">
        <f>Engine!E37</f>
        <v>0</v>
      </c>
      <c r="E37" s="2">
        <f>B37 * DSO / 30</f>
        <v>0</v>
      </c>
      <c r="F37" s="2">
        <f>C37 * DSI / 30</f>
        <v>0</v>
      </c>
      <c r="G37" s="2">
        <f>(C37 + D37) * DPO / 30</f>
        <v>0</v>
      </c>
      <c r="H37" s="2">
        <f>E37 + F37 - G37</f>
        <v>0</v>
      </c>
      <c r="I37" s="2">
        <f>H37 - H36</f>
        <v>0</v>
      </c>
      <c r="J37" s="2">
        <f>Engine!M37</f>
        <v>0</v>
      </c>
      <c r="K37" s="2">
        <f>Engine!J37</f>
        <v>0</v>
      </c>
      <c r="L37" s="2">
        <f>Engine!I37</f>
        <v>0</v>
      </c>
      <c r="M37" s="2">
        <f>J37 + K37 - I37 - L37</f>
        <v>0</v>
      </c>
      <c r="N37" s="2">
        <f>N36 + M37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96</v>
      </c>
    </row>
    <row r="3" spans="1:2">
      <c r="A3" s="1" t="s">
        <v>97</v>
      </c>
      <c r="B3" s="1" t="s">
        <v>98</v>
      </c>
    </row>
    <row r="4" spans="1:2">
      <c r="A4" s="3">
        <v>-0.1</v>
      </c>
      <c r="B4" s="2">
        <f>SUM(Engine!C:C) * (1 + A4)</f>
        <v>0</v>
      </c>
    </row>
    <row r="5" spans="1:2">
      <c r="A5" s="3">
        <v>-0.05</v>
      </c>
      <c r="B5" s="2">
        <f>SUM(Engine!C:C) * (1 + A5)</f>
        <v>0</v>
      </c>
    </row>
    <row r="6" spans="1:2">
      <c r="A6" s="3">
        <v>0</v>
      </c>
      <c r="B6" s="2">
        <f>SUM(Engine!C:C) * (1 + A6)</f>
        <v>0</v>
      </c>
    </row>
    <row r="7" spans="1:2">
      <c r="A7" s="3">
        <v>0.05</v>
      </c>
      <c r="B7" s="2">
        <f>SUM(Engine!C:C) * (1 + A7)</f>
        <v>0</v>
      </c>
    </row>
    <row r="8" spans="1:2">
      <c r="A8" s="3">
        <v>0.1</v>
      </c>
      <c r="B8" s="2">
        <f>SUM(Engine!C:C) * (1 + A8)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99</v>
      </c>
      <c r="B1" s="1" t="s">
        <v>100</v>
      </c>
    </row>
    <row r="2" spans="1:2">
      <c r="A2" t="s">
        <v>101</v>
      </c>
      <c r="B2">
        <f>MIN(Engine!C:C)&gt;0</f>
        <v>0</v>
      </c>
    </row>
    <row r="3" spans="1:2">
      <c r="A3" t="s">
        <v>102</v>
      </c>
      <c r="B3">
        <f>MAX(Engine!H:H/Engine!C:C)&lt;1</f>
        <v>0</v>
      </c>
    </row>
    <row r="4" spans="1:2">
      <c r="A4" t="s">
        <v>103</v>
      </c>
      <c r="B4">
        <f>MIN(Working_Capital!N:N)&gt;0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16</vt:i4>
      </vt:variant>
    </vt:vector>
  </HeadingPairs>
  <TitlesOfParts>
    <vt:vector size="22" baseType="lpstr">
      <vt:lpstr>Inputs</vt:lpstr>
      <vt:lpstr>Scenario_Table</vt:lpstr>
      <vt:lpstr>Engine</vt:lpstr>
      <vt:lpstr>Working_Capital</vt:lpstr>
      <vt:lpstr>Sensitivity</vt:lpstr>
      <vt:lpstr>Checks</vt:lpstr>
      <vt:lpstr>AvgSalary</vt:lpstr>
      <vt:lpstr>BaseRevenue</vt:lpstr>
      <vt:lpstr>COGS_pct</vt:lpstr>
      <vt:lpstr>DPO</vt:lpstr>
      <vt:lpstr>DSI</vt:lpstr>
      <vt:lpstr>DSO</vt:lpstr>
      <vt:lpstr>Fixed_Opex</vt:lpstr>
      <vt:lpstr>Headcount_Start</vt:lpstr>
      <vt:lpstr>HiringRate</vt:lpstr>
      <vt:lpstr>OpEx_Var_pct</vt:lpstr>
      <vt:lpstr>PriceGrowth</vt:lpstr>
      <vt:lpstr>Scenario_Table</vt:lpstr>
      <vt:lpstr>ScenarioSelector</vt:lpstr>
      <vt:lpstr>Seasonality</vt:lpstr>
      <vt:lpstr>TaxRate</vt:lpstr>
      <vt:lpstr>VolumeGrowth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2025-12-10T15:32:25Z</dcterms:created>
  <dcterms:modified xsi:type="dcterms:W3CDTF">2025-12-10T15:32:25Z</dcterms:modified>
</cp:coreProperties>
</file>