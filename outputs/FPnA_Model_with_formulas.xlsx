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Scenario_Table" sheetId="2" r:id="rId2"/>
    <sheet name="Depreciation_Sched" sheetId="3" r:id="rId3"/>
    <sheet name="Engine" sheetId="4" r:id="rId4"/>
    <sheet name="Working_Capital" sheetId="5" r:id="rId5"/>
    <sheet name="Sensitivity" sheetId="6" r:id="rId6"/>
    <sheet name="Checks" sheetId="7" r:id="rId7"/>
  </sheets>
  <definedNames>
    <definedName name="AvgSalary">Inputs!$B$20</definedName>
    <definedName name="BaseRevenue">Inputs!$B$7</definedName>
    <definedName name="COGS_Pct">Inputs!$B$12</definedName>
    <definedName name="DeprStream">Depreciation_Sched!$B$41:$AK$41</definedName>
    <definedName name="DPO">Inputs!$B$25</definedName>
    <definedName name="DSI">Inputs!$B$24</definedName>
    <definedName name="DSO">Inputs!$B$23</definedName>
    <definedName name="FixedOpEx">Inputs!$B$13</definedName>
    <definedName name="HC_Start">Inputs!$B$18</definedName>
    <definedName name="HiringRate">Inputs!$B$19</definedName>
    <definedName name="InitCash">Inputs!$B$29</definedName>
    <definedName name="OpExVarPct">Inputs!$B$14</definedName>
    <definedName name="PriceGrowth">Inputs!$B$9</definedName>
    <definedName name="Scenario_Table">Scenario_Table!$A$2:$F$4</definedName>
    <definedName name="ScenarioSelector">Inputs!$B$4</definedName>
    <definedName name="Seasonality">Inputs!$A$33:$L$33</definedName>
    <definedName name="TaxRate">Inputs!$B$15</definedName>
    <definedName name="UsefulLife">Inputs!$B$28</definedName>
    <definedName name="VolGrowth">Inputs!$B$8</definedName>
  </definedNames>
  <calcPr calcId="124519" fullCalcOnLoad="1"/>
</workbook>
</file>

<file path=xl/sharedStrings.xml><?xml version="1.0" encoding="utf-8"?>
<sst xmlns="http://schemas.openxmlformats.org/spreadsheetml/2006/main" count="245" uniqueCount="157">
  <si>
    <t>P3 FP&amp;A Model Inputs</t>
  </si>
  <si>
    <t>SCENARIO CONTROL</t>
  </si>
  <si>
    <t>Value</t>
  </si>
  <si>
    <t>Named Range</t>
  </si>
  <si>
    <t>Active Scenario</t>
  </si>
  <si>
    <t>Base</t>
  </si>
  <si>
    <t>ScenarioSelector</t>
  </si>
  <si>
    <t>REVENUE DRIVERS</t>
  </si>
  <si>
    <t>Base Monthly Revenue</t>
  </si>
  <si>
    <t>BaseRevenue</t>
  </si>
  <si>
    <t>Volume Growth (mo)</t>
  </si>
  <si>
    <t>VolGrowth</t>
  </si>
  <si>
    <t>Price Growth (mo)</t>
  </si>
  <si>
    <t>PriceGrowth</t>
  </si>
  <si>
    <t>COST DRIVERS</t>
  </si>
  <si>
    <t>COGS % of Rev</t>
  </si>
  <si>
    <t>COGS_Pct</t>
  </si>
  <si>
    <t>Fixed OpEx (Monthly)</t>
  </si>
  <si>
    <t>FixedOpEx</t>
  </si>
  <si>
    <t>OpEx Variable %</t>
  </si>
  <si>
    <t>OpExVarPct</t>
  </si>
  <si>
    <t>Tax Rate</t>
  </si>
  <si>
    <t>TaxRate</t>
  </si>
  <si>
    <t>HEADCOUNT DRIVERS</t>
  </si>
  <si>
    <t>Start Headcount</t>
  </si>
  <si>
    <t>HC_Start</t>
  </si>
  <si>
    <t>Hiring Rate (mo)</t>
  </si>
  <si>
    <t>HiringRate</t>
  </si>
  <si>
    <t>Avg Salary</t>
  </si>
  <si>
    <t>AvgSalary</t>
  </si>
  <si>
    <t>WORKING CAPITAL DRIVERS</t>
  </si>
  <si>
    <t>DSO (Days Sales Outstanding)</t>
  </si>
  <si>
    <t>DSO</t>
  </si>
  <si>
    <t>DSI (Days Sales Inventory)</t>
  </si>
  <si>
    <t>DSI</t>
  </si>
  <si>
    <t>DPO (Days Payable Outstanding)</t>
  </si>
  <si>
    <t>DPO</t>
  </si>
  <si>
    <t>ASSETS &amp; FUNDING</t>
  </si>
  <si>
    <t>Useful Life (Months)</t>
  </si>
  <si>
    <t>UsefulLife</t>
  </si>
  <si>
    <t>Initial Cash</t>
  </si>
  <si>
    <t>InitCash</t>
  </si>
  <si>
    <t>SEASONALITY PROFILE</t>
  </si>
  <si>
    <t>Scenario</t>
  </si>
  <si>
    <t>Revenue_Mult</t>
  </si>
  <si>
    <t>COGS_Mult</t>
  </si>
  <si>
    <t>Vol_Adj</t>
  </si>
  <si>
    <t>Price_Adj</t>
  </si>
  <si>
    <t>CapEx_Mult</t>
  </si>
  <si>
    <t>Best</t>
  </si>
  <si>
    <t>Worst</t>
  </si>
  <si>
    <t>Date</t>
  </si>
  <si>
    <t>New Capex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</si>
  <si>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</si>
  <si>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</si>
  <si>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</si>
  <si>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</si>
  <si>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</si>
  <si>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</si>
  <si>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</si>
  <si>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</si>
  <si>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</si>
  <si>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</si>
  <si>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</si>
  <si>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</si>
  <si>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</si>
  <si>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</si>
  <si>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</si>
  <si>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</si>
  <si>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</si>
  <si>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</si>
  <si>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</si>
  <si>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</si>
  <si>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</si>
  <si>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</si>
  <si>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</si>
  <si>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</si>
  <si>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</si>
  <si>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</si>
  <si>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</si>
  <si>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</si>
  <si>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</si>
  <si>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</si>
  <si>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</si>
  <si>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</si>
  <si>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</si>
  <si>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</si>
  <si>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</si>
  <si>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</si>
  <si>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Depreciation Waterfall</t>
  </si>
  <si>
    <t>Batch Jan-25</t>
  </si>
  <si>
    <t>Batch Feb-25</t>
  </si>
  <si>
    <t>Batch Mar-25</t>
  </si>
  <si>
    <t>Batch Apr-25</t>
  </si>
  <si>
    <t>Batch May-25</t>
  </si>
  <si>
    <t>Batch Jun-25</t>
  </si>
  <si>
    <t>Batch Jul-25</t>
  </si>
  <si>
    <t>Batch Aug-25</t>
  </si>
  <si>
    <t>Batch Sep-25</t>
  </si>
  <si>
    <t>Batch Oct-25</t>
  </si>
  <si>
    <t>Batch Nov-25</t>
  </si>
  <si>
    <t>Batch Dec-25</t>
  </si>
  <si>
    <t>Batch Jan-26</t>
  </si>
  <si>
    <t>Batch Feb-26</t>
  </si>
  <si>
    <t>Batch Mar-26</t>
  </si>
  <si>
    <t>Batch Apr-26</t>
  </si>
  <si>
    <t>Batch May-26</t>
  </si>
  <si>
    <t>Batch Jun-26</t>
  </si>
  <si>
    <t>Batch Jul-26</t>
  </si>
  <si>
    <t>Batch Aug-26</t>
  </si>
  <si>
    <t>Batch Sep-26</t>
  </si>
  <si>
    <t>Batch Oct-26</t>
  </si>
  <si>
    <t>Batch Nov-26</t>
  </si>
  <si>
    <t>Batch Dec-26</t>
  </si>
  <si>
    <t>Batch Jan-27</t>
  </si>
  <si>
    <t>Batch Feb-27</t>
  </si>
  <si>
    <t>Batch Mar-27</t>
  </si>
  <si>
    <t>Batch Apr-27</t>
  </si>
  <si>
    <t>Batch May-27</t>
  </si>
  <si>
    <t>Batch Jun-27</t>
  </si>
  <si>
    <t>Batch Jul-27</t>
  </si>
  <si>
    <t>Batch Aug-27</t>
  </si>
  <si>
    <t>Batch Sep-27</t>
  </si>
  <si>
    <t>Batch Oct-27</t>
  </si>
  <si>
    <t>Batch Nov-27</t>
  </si>
  <si>
    <t>Batch Dec-27</t>
  </si>
  <si>
    <t>TOTAL DEPRECIATION</t>
  </si>
  <si>
    <t>Metric</t>
  </si>
  <si>
    <t>Month Index</t>
  </si>
  <si>
    <t>Revenue</t>
  </si>
  <si>
    <t>COGS</t>
  </si>
  <si>
    <t>OpEx</t>
  </si>
  <si>
    <t>Payroll</t>
  </si>
  <si>
    <t>Headcount</t>
  </si>
  <si>
    <t>EBITDA</t>
  </si>
  <si>
    <t>Capex</t>
  </si>
  <si>
    <t>Depreciation</t>
  </si>
  <si>
    <t>EBIT</t>
  </si>
  <si>
    <t>Tax</t>
  </si>
  <si>
    <t>Net Income</t>
  </si>
  <si>
    <t>AR</t>
  </si>
  <si>
    <t>Inventory</t>
  </si>
  <si>
    <t>AP</t>
  </si>
  <si>
    <t>Net WC</t>
  </si>
  <si>
    <t>Change in WC</t>
  </si>
  <si>
    <t>NetIncome</t>
  </si>
  <si>
    <t>Depre</t>
  </si>
  <si>
    <t>Cash Flow</t>
  </si>
  <si>
    <t>Cash Balance</t>
  </si>
  <si>
    <t>SENSITIVITY ANALYSIS: REVENUE</t>
  </si>
  <si>
    <t>Price \ Volume</t>
  </si>
  <si>
    <t>Validation Check</t>
  </si>
  <si>
    <t>Status</t>
  </si>
  <si>
    <t>Cash is Positive</t>
  </si>
  <si>
    <t>Revenue Match</t>
  </si>
  <si>
    <t>Balance Sheet Logic</t>
  </si>
  <si>
    <t>No Errors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</si>
</sst>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#,##0"/>
    <numFmt numFmtId="167" formatCode="mmm-yy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4" t="s">
        <v>5</v>
      </c>
      <c r="C4" s="3" t="s">
        <v>6</v>
      </c>
    </row>
    <row r="6" spans="1:3">
      <c r="A6" s="2" t="s">
        <v>7</v>
      </c>
      <c r="B6" s="2" t="s">
        <v>2</v>
      </c>
      <c r="C6" s="2" t="s">
        <v>3</v>
      </c>
    </row>
    <row r="7" spans="1:3">
      <c r="A7" s="3" t="s">
        <v>8</v>
      </c>
      <c r="B7" s="5">
        <v>150000</v>
      </c>
      <c r="C7" s="3" t="s">
        <v>9</v>
      </c>
    </row>
    <row r="8" spans="1:3">
      <c r="A8" s="3" t="s">
        <v>10</v>
      </c>
      <c r="B8" s="6">
        <v>0.02</v>
      </c>
      <c r="C8" s="3" t="s">
        <v>11</v>
      </c>
    </row>
    <row r="9" spans="1:3">
      <c r="A9" s="3" t="s">
        <v>12</v>
      </c>
      <c r="B9" s="6">
        <v>0.005</v>
      </c>
      <c r="C9" s="3" t="s">
        <v>13</v>
      </c>
    </row>
    <row r="11" spans="1:3">
      <c r="A11" s="2" t="s">
        <v>14</v>
      </c>
      <c r="B11" s="2" t="s">
        <v>2</v>
      </c>
      <c r="C11" s="2" t="s">
        <v>3</v>
      </c>
    </row>
    <row r="12" spans="1:3">
      <c r="A12" s="3" t="s">
        <v>15</v>
      </c>
      <c r="B12" s="6">
        <v>0.4</v>
      </c>
      <c r="C12" s="3" t="s">
        <v>16</v>
      </c>
    </row>
    <row r="13" spans="1:3">
      <c r="A13" s="3" t="s">
        <v>17</v>
      </c>
      <c r="B13" s="5">
        <v>45000</v>
      </c>
      <c r="C13" s="3" t="s">
        <v>18</v>
      </c>
    </row>
    <row r="14" spans="1:3">
      <c r="A14" s="3" t="s">
        <v>19</v>
      </c>
      <c r="B14" s="6">
        <v>0.1</v>
      </c>
      <c r="C14" s="3" t="s">
        <v>20</v>
      </c>
    </row>
    <row r="15" spans="1:3">
      <c r="A15" s="3" t="s">
        <v>21</v>
      </c>
      <c r="B15" s="6">
        <v>0.25</v>
      </c>
      <c r="C15" s="3" t="s">
        <v>22</v>
      </c>
    </row>
    <row r="17" spans="1:12">
      <c r="A17" s="2" t="s">
        <v>23</v>
      </c>
      <c r="B17" s="2" t="s">
        <v>2</v>
      </c>
      <c r="C17" s="2" t="s">
        <v>3</v>
      </c>
    </row>
    <row r="18" spans="1:12">
      <c r="A18" s="3" t="s">
        <v>24</v>
      </c>
      <c r="B18" s="7">
        <v>12</v>
      </c>
      <c r="C18" s="3" t="s">
        <v>25</v>
      </c>
    </row>
    <row r="19" spans="1:12">
      <c r="A19" s="3" t="s">
        <v>26</v>
      </c>
      <c r="B19" s="6">
        <v>0.2</v>
      </c>
      <c r="C19" s="3" t="s">
        <v>27</v>
      </c>
    </row>
    <row r="20" spans="1:12">
      <c r="A20" s="3" t="s">
        <v>28</v>
      </c>
      <c r="B20" s="5">
        <v>6000</v>
      </c>
      <c r="C20" s="3" t="s">
        <v>29</v>
      </c>
    </row>
    <row r="22" spans="1:12">
      <c r="A22" s="2" t="s">
        <v>30</v>
      </c>
      <c r="B22" s="2" t="s">
        <v>2</v>
      </c>
      <c r="C22" s="2" t="s">
        <v>3</v>
      </c>
    </row>
    <row r="23" spans="1:12">
      <c r="A23" s="3" t="s">
        <v>31</v>
      </c>
      <c r="B23" s="7">
        <v>45</v>
      </c>
      <c r="C23" s="3" t="s">
        <v>32</v>
      </c>
    </row>
    <row r="24" spans="1:12">
      <c r="A24" s="3" t="s">
        <v>33</v>
      </c>
      <c r="B24" s="7">
        <v>30</v>
      </c>
      <c r="C24" s="3" t="s">
        <v>34</v>
      </c>
    </row>
    <row r="25" spans="1:12">
      <c r="A25" s="3" t="s">
        <v>35</v>
      </c>
      <c r="B25" s="7">
        <v>30</v>
      </c>
      <c r="C25" s="3" t="s">
        <v>36</v>
      </c>
    </row>
    <row r="27" spans="1:12">
      <c r="A27" s="2" t="s">
        <v>37</v>
      </c>
      <c r="B27" s="2" t="s">
        <v>2</v>
      </c>
      <c r="C27" s="2" t="s">
        <v>3</v>
      </c>
    </row>
    <row r="28" spans="1:12">
      <c r="A28" s="3" t="s">
        <v>38</v>
      </c>
      <c r="B28" s="7">
        <v>60</v>
      </c>
      <c r="C28" s="3" t="s">
        <v>39</v>
      </c>
    </row>
    <row r="29" spans="1:12">
      <c r="A29" s="3" t="s">
        <v>40</v>
      </c>
      <c r="B29" s="5">
        <v>500000</v>
      </c>
      <c r="C29" s="3" t="s">
        <v>41</v>
      </c>
    </row>
    <row r="31" spans="1:12">
      <c r="A31" s="2" t="s">
        <v>42</v>
      </c>
    </row>
    <row r="32" spans="1:12">
      <c r="A32" s="8">
        <v>1</v>
      </c>
      <c r="B32" s="8">
        <v>2</v>
      </c>
      <c r="C32" s="8">
        <v>3</v>
      </c>
      <c r="D32" s="8">
        <v>4</v>
      </c>
      <c r="E32" s="8">
        <v>5</v>
      </c>
      <c r="F32" s="8">
        <v>6</v>
      </c>
      <c r="G32" s="8">
        <v>7</v>
      </c>
      <c r="H32" s="8">
        <v>8</v>
      </c>
      <c r="I32" s="8">
        <v>9</v>
      </c>
      <c r="J32" s="8">
        <v>10</v>
      </c>
      <c r="K32" s="8">
        <v>11</v>
      </c>
      <c r="L32" s="8">
        <v>12</v>
      </c>
    </row>
    <row r="33" spans="1:12">
      <c r="A33" s="6">
        <v>0.85</v>
      </c>
      <c r="B33" s="6">
        <v>0.85</v>
      </c>
      <c r="C33" s="6">
        <v>0.9</v>
      </c>
      <c r="D33" s="6">
        <v>0.95</v>
      </c>
      <c r="E33" s="6">
        <v>1</v>
      </c>
      <c r="F33" s="6">
        <v>1.05</v>
      </c>
      <c r="G33" s="6">
        <v>1.1</v>
      </c>
      <c r="H33" s="6">
        <v>1.05</v>
      </c>
      <c r="I33" s="6">
        <v>1.1</v>
      </c>
      <c r="J33" s="6">
        <v>1.15</v>
      </c>
      <c r="K33" s="6">
        <v>1.2</v>
      </c>
      <c r="L33" s="6">
        <v>1.4</v>
      </c>
    </row>
  </sheetData>
  <dataValidations count="1">
    <dataValidation type="list" allowBlank="1" showInputMessage="1" showErrorMessage="1" sqref="B4">
      <formula1>"Base,Best,Worst"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</row>
    <row r="2" spans="1:6">
      <c r="A2" s="3" t="s">
        <v>5</v>
      </c>
      <c r="B2" s="3">
        <v>1</v>
      </c>
      <c r="C2" s="3">
        <v>1</v>
      </c>
      <c r="D2" s="3">
        <v>0</v>
      </c>
      <c r="E2" s="3">
        <v>0</v>
      </c>
      <c r="F2" s="3">
        <v>1</v>
      </c>
    </row>
    <row r="3" spans="1:6">
      <c r="A3" s="3" t="s">
        <v>49</v>
      </c>
      <c r="B3" s="3">
        <v>1.15</v>
      </c>
      <c r="C3" s="3">
        <v>0.95</v>
      </c>
      <c r="D3" s="3">
        <v>0.01</v>
      </c>
      <c r="E3" s="3">
        <v>0.005</v>
      </c>
      <c r="F3" s="3">
        <v>1.2</v>
      </c>
    </row>
    <row r="4" spans="1:6">
      <c r="A4" s="3" t="s">
        <v>50</v>
      </c>
      <c r="B4" s="3">
        <v>0.85</v>
      </c>
      <c r="C4" s="3">
        <v>1.1</v>
      </c>
      <c r="D4" s="3">
        <v>-0.01</v>
      </c>
      <c r="E4" s="3">
        <v>-0.005</v>
      </c>
      <c r="F4" s="3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1"/>
  <sheetViews>
    <sheetView workbookViewId="0"/>
  </sheetViews>
  <sheetFormatPr defaultRowHeight="15"/>
  <sheetData>
    <row r="1" spans="1:37">
      <c r="A1" s="2" t="s">
        <v>51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61</v>
      </c>
      <c r="K1" s="8" t="s">
        <v>62</v>
      </c>
      <c r="L1" s="8" t="s">
        <v>63</v>
      </c>
      <c r="M1" s="8" t="s">
        <v>64</v>
      </c>
      <c r="N1" s="8" t="s">
        <v>65</v>
      </c>
      <c r="O1" s="8" t="s">
        <v>66</v>
      </c>
      <c r="P1" s="8" t="s">
        <v>67</v>
      </c>
      <c r="Q1" s="8" t="s">
        <v>68</v>
      </c>
      <c r="R1" s="8" t="s">
        <v>69</v>
      </c>
      <c r="S1" s="8" t="s">
        <v>70</v>
      </c>
      <c r="T1" s="8" t="s">
        <v>71</v>
      </c>
      <c r="U1" s="8" t="s">
        <v>72</v>
      </c>
      <c r="V1" s="8" t="s">
        <v>73</v>
      </c>
      <c r="W1" s="8" t="s">
        <v>74</v>
      </c>
      <c r="X1" s="8" t="s">
        <v>75</v>
      </c>
      <c r="Y1" s="8" t="s">
        <v>76</v>
      </c>
      <c r="Z1" s="8" t="s">
        <v>77</v>
      </c>
      <c r="AA1" s="8" t="s">
        <v>78</v>
      </c>
      <c r="AB1" s="8" t="s">
        <v>79</v>
      </c>
      <c r="AC1" s="8" t="s">
        <v>80</v>
      </c>
      <c r="AD1" s="8" t="s">
        <v>81</v>
      </c>
      <c r="AE1" s="8" t="s">
        <v>82</v>
      </c>
      <c r="AF1" s="8" t="s">
        <v>83</v>
      </c>
      <c r="AG1" s="8" t="s">
        <v>84</v>
      </c>
      <c r="AH1" s="8" t="s">
        <v>85</v>
      </c>
      <c r="AI1" s="8" t="s">
        <v>86</v>
      </c>
      <c r="AJ1" s="8" t="s">
        <v>87</v>
      </c>
      <c r="AK1" s="8" t="s">
        <v>88</v>
      </c>
    </row>
    <row r="2" spans="1:37">
      <c r="A2" s="2" t="s">
        <v>52</v>
      </c>
      <c r="B2" s="5">
        <f>Engine!B9</f>
        <v>0</v>
      </c>
      <c r="C2" s="5">
        <f>Engine!C9</f>
        <v>0</v>
      </c>
      <c r="D2" s="5">
        <f>Engine!D9</f>
        <v>0</v>
      </c>
      <c r="E2" s="5">
        <f>Engine!E9</f>
        <v>0</v>
      </c>
      <c r="F2" s="5">
        <f>Engine!F9</f>
        <v>0</v>
      </c>
      <c r="G2" s="5">
        <f>Engine!G9</f>
        <v>0</v>
      </c>
      <c r="H2" s="5">
        <f>Engine!H9</f>
        <v>0</v>
      </c>
      <c r="I2" s="5">
        <f>Engine!I9</f>
        <v>0</v>
      </c>
      <c r="J2" s="5">
        <f>Engine!J9</f>
        <v>0</v>
      </c>
      <c r="K2" s="5">
        <f>Engine!K9</f>
        <v>0</v>
      </c>
      <c r="L2" s="5">
        <f>Engine!L9</f>
        <v>0</v>
      </c>
      <c r="M2" s="5">
        <f>Engine!M9</f>
        <v>0</v>
      </c>
      <c r="N2" s="5">
        <f>Engine!N9</f>
        <v>0</v>
      </c>
      <c r="O2" s="5">
        <f>Engine!O9</f>
        <v>0</v>
      </c>
      <c r="P2" s="5">
        <f>Engine!P9</f>
        <v>0</v>
      </c>
      <c r="Q2" s="5">
        <f>Engine!Q9</f>
        <v>0</v>
      </c>
      <c r="R2" s="5">
        <f>Engine!R9</f>
        <v>0</v>
      </c>
      <c r="S2" s="5">
        <f>Engine!S9</f>
        <v>0</v>
      </c>
      <c r="T2" s="5">
        <f>Engine!T9</f>
        <v>0</v>
      </c>
      <c r="U2" s="5">
        <f>Engine!U9</f>
        <v>0</v>
      </c>
      <c r="V2" s="5">
        <f>Engine!V9</f>
        <v>0</v>
      </c>
      <c r="W2" s="5">
        <f>Engine!W9</f>
        <v>0</v>
      </c>
      <c r="X2" s="5">
        <f>Engine!X9</f>
        <v>0</v>
      </c>
      <c r="Y2" s="5">
        <f>Engine!Y9</f>
        <v>0</v>
      </c>
      <c r="Z2" s="5">
        <f>Engine!Z9</f>
        <v>0</v>
      </c>
      <c r="AA2" s="5">
        <f>Engine!AA9</f>
        <v>0</v>
      </c>
      <c r="AB2" s="5">
        <f>Engine!AB9</f>
        <v>0</v>
      </c>
      <c r="AC2" s="5">
        <f>Engine!AC9</f>
        <v>0</v>
      </c>
      <c r="AD2" s="5">
        <f>Engine!AD9</f>
        <v>0</v>
      </c>
      <c r="AE2" s="5">
        <f>Engine!AE9</f>
        <v>0</v>
      </c>
      <c r="AF2" s="5">
        <f>Engine!AF9</f>
        <v>0</v>
      </c>
      <c r="AG2" s="5">
        <f>Engine!AG9</f>
        <v>0</v>
      </c>
      <c r="AH2" s="5">
        <f>Engine!AH9</f>
        <v>0</v>
      </c>
      <c r="AI2" s="5">
        <f>Engine!AI9</f>
        <v>0</v>
      </c>
      <c r="AJ2" s="5">
        <f>Engine!AJ9</f>
        <v>0</v>
      </c>
      <c r="AK2" s="5">
        <f>Engine!AK9</f>
        <v>0</v>
      </c>
    </row>
    <row r="3" spans="1:37">
      <c r="A3" s="2" t="s">
        <v>89</v>
      </c>
    </row>
    <row r="4" spans="1:37">
      <c r="A4" s="3" t="s">
        <v>90</v>
      </c>
      <c r="B4" s="7">
        <f>IF(AND(0&gt;=0, 0&lt;0+UsefulLife), B2/UsefulLife, 0)</f>
        <v>0</v>
      </c>
      <c r="C4" s="7">
        <f>IF(AND(1&gt;=0, 1&lt;0+UsefulLife), B2/UsefulLife, 0)</f>
        <v>0</v>
      </c>
      <c r="D4" s="7">
        <f>IF(AND(2&gt;=0, 2&lt;0+UsefulLife), B2/UsefulLife, 0)</f>
        <v>0</v>
      </c>
      <c r="E4" s="7">
        <f>IF(AND(3&gt;=0, 3&lt;0+UsefulLife), B2/UsefulLife, 0)</f>
        <v>0</v>
      </c>
      <c r="F4" s="7">
        <f>IF(AND(4&gt;=0, 4&lt;0+UsefulLife), B2/UsefulLife, 0)</f>
        <v>0</v>
      </c>
      <c r="G4" s="7">
        <f>IF(AND(5&gt;=0, 5&lt;0+UsefulLife), B2/UsefulLife, 0)</f>
        <v>0</v>
      </c>
      <c r="H4" s="7">
        <f>IF(AND(6&gt;=0, 6&lt;0+UsefulLife), B2/UsefulLife, 0)</f>
        <v>0</v>
      </c>
      <c r="I4" s="7">
        <f>IF(AND(7&gt;=0, 7&lt;0+UsefulLife), B2/UsefulLife, 0)</f>
        <v>0</v>
      </c>
      <c r="J4" s="7">
        <f>IF(AND(8&gt;=0, 8&lt;0+UsefulLife), B2/UsefulLife, 0)</f>
        <v>0</v>
      </c>
      <c r="K4" s="7">
        <f>IF(AND(9&gt;=0, 9&lt;0+UsefulLife), B2/UsefulLife, 0)</f>
        <v>0</v>
      </c>
      <c r="L4" s="7">
        <f>IF(AND(10&gt;=0, 10&lt;0+UsefulLife), B2/UsefulLife, 0)</f>
        <v>0</v>
      </c>
      <c r="M4" s="7">
        <f>IF(AND(11&gt;=0, 11&lt;0+UsefulLife), B2/UsefulLife, 0)</f>
        <v>0</v>
      </c>
      <c r="N4" s="7">
        <f>IF(AND(12&gt;=0, 12&lt;0+UsefulLife), B2/UsefulLife, 0)</f>
        <v>0</v>
      </c>
      <c r="O4" s="7">
        <f>IF(AND(13&gt;=0, 13&lt;0+UsefulLife), B2/UsefulLife, 0)</f>
        <v>0</v>
      </c>
      <c r="P4" s="7">
        <f>IF(AND(14&gt;=0, 14&lt;0+UsefulLife), B2/UsefulLife, 0)</f>
        <v>0</v>
      </c>
      <c r="Q4" s="7">
        <f>IF(AND(15&gt;=0, 15&lt;0+UsefulLife), B2/UsefulLife, 0)</f>
        <v>0</v>
      </c>
      <c r="R4" s="7">
        <f>IF(AND(16&gt;=0, 16&lt;0+UsefulLife), B2/UsefulLife, 0)</f>
        <v>0</v>
      </c>
      <c r="S4" s="7">
        <f>IF(AND(17&gt;=0, 17&lt;0+UsefulLife), B2/UsefulLife, 0)</f>
        <v>0</v>
      </c>
      <c r="T4" s="7">
        <f>IF(AND(18&gt;=0, 18&lt;0+UsefulLife), B2/UsefulLife, 0)</f>
        <v>0</v>
      </c>
      <c r="U4" s="7">
        <f>IF(AND(19&gt;=0, 19&lt;0+UsefulLife), B2/UsefulLife, 0)</f>
        <v>0</v>
      </c>
      <c r="V4" s="7">
        <f>IF(AND(20&gt;=0, 20&lt;0+UsefulLife), B2/UsefulLife, 0)</f>
        <v>0</v>
      </c>
      <c r="W4" s="7">
        <f>IF(AND(21&gt;=0, 21&lt;0+UsefulLife), B2/UsefulLife, 0)</f>
        <v>0</v>
      </c>
      <c r="X4" s="7">
        <f>IF(AND(22&gt;=0, 22&lt;0+UsefulLife), B2/UsefulLife, 0)</f>
        <v>0</v>
      </c>
      <c r="Y4" s="7">
        <f>IF(AND(23&gt;=0, 23&lt;0+UsefulLife), B2/UsefulLife, 0)</f>
        <v>0</v>
      </c>
      <c r="Z4" s="7">
        <f>IF(AND(24&gt;=0, 24&lt;0+UsefulLife), B2/UsefulLife, 0)</f>
        <v>0</v>
      </c>
      <c r="AA4" s="7">
        <f>IF(AND(25&gt;=0, 25&lt;0+UsefulLife), B2/UsefulLife, 0)</f>
        <v>0</v>
      </c>
      <c r="AB4" s="7">
        <f>IF(AND(26&gt;=0, 26&lt;0+UsefulLife), B2/UsefulLife, 0)</f>
        <v>0</v>
      </c>
      <c r="AC4" s="7">
        <f>IF(AND(27&gt;=0, 27&lt;0+UsefulLife), B2/UsefulLife, 0)</f>
        <v>0</v>
      </c>
      <c r="AD4" s="7">
        <f>IF(AND(28&gt;=0, 28&lt;0+UsefulLife), B2/UsefulLife, 0)</f>
        <v>0</v>
      </c>
      <c r="AE4" s="7">
        <f>IF(AND(29&gt;=0, 29&lt;0+UsefulLife), B2/UsefulLife, 0)</f>
        <v>0</v>
      </c>
      <c r="AF4" s="7">
        <f>IF(AND(30&gt;=0, 30&lt;0+UsefulLife), B2/UsefulLife, 0)</f>
        <v>0</v>
      </c>
      <c r="AG4" s="7">
        <f>IF(AND(31&gt;=0, 31&lt;0+UsefulLife), B2/UsefulLife, 0)</f>
        <v>0</v>
      </c>
      <c r="AH4" s="7">
        <f>IF(AND(32&gt;=0, 32&lt;0+UsefulLife), B2/UsefulLife, 0)</f>
        <v>0</v>
      </c>
      <c r="AI4" s="7">
        <f>IF(AND(33&gt;=0, 33&lt;0+UsefulLife), B2/UsefulLife, 0)</f>
        <v>0</v>
      </c>
      <c r="AJ4" s="7">
        <f>IF(AND(34&gt;=0, 34&lt;0+UsefulLife), B2/UsefulLife, 0)</f>
        <v>0</v>
      </c>
      <c r="AK4" s="7">
        <f>IF(AND(35&gt;=0, 35&lt;0+UsefulLife), B2/UsefulLife, 0)</f>
        <v>0</v>
      </c>
    </row>
    <row r="5" spans="1:37">
      <c r="A5" s="3" t="s">
        <v>91</v>
      </c>
      <c r="B5" s="7">
        <f>IF(AND(0&gt;=1, 0&lt;1+UsefulLife), C2/UsefulLife, 0)</f>
        <v>0</v>
      </c>
      <c r="C5" s="7">
        <f>IF(AND(1&gt;=1, 1&lt;1+UsefulLife), C2/UsefulLife, 0)</f>
        <v>0</v>
      </c>
      <c r="D5" s="7">
        <f>IF(AND(2&gt;=1, 2&lt;1+UsefulLife), C2/UsefulLife, 0)</f>
        <v>0</v>
      </c>
      <c r="E5" s="7">
        <f>IF(AND(3&gt;=1, 3&lt;1+UsefulLife), C2/UsefulLife, 0)</f>
        <v>0</v>
      </c>
      <c r="F5" s="7">
        <f>IF(AND(4&gt;=1, 4&lt;1+UsefulLife), C2/UsefulLife, 0)</f>
        <v>0</v>
      </c>
      <c r="G5" s="7">
        <f>IF(AND(5&gt;=1, 5&lt;1+UsefulLife), C2/UsefulLife, 0)</f>
        <v>0</v>
      </c>
      <c r="H5" s="7">
        <f>IF(AND(6&gt;=1, 6&lt;1+UsefulLife), C2/UsefulLife, 0)</f>
        <v>0</v>
      </c>
      <c r="I5" s="7">
        <f>IF(AND(7&gt;=1, 7&lt;1+UsefulLife), C2/UsefulLife, 0)</f>
        <v>0</v>
      </c>
      <c r="J5" s="7">
        <f>IF(AND(8&gt;=1, 8&lt;1+UsefulLife), C2/UsefulLife, 0)</f>
        <v>0</v>
      </c>
      <c r="K5" s="7">
        <f>IF(AND(9&gt;=1, 9&lt;1+UsefulLife), C2/UsefulLife, 0)</f>
        <v>0</v>
      </c>
      <c r="L5" s="7">
        <f>IF(AND(10&gt;=1, 10&lt;1+UsefulLife), C2/UsefulLife, 0)</f>
        <v>0</v>
      </c>
      <c r="M5" s="7">
        <f>IF(AND(11&gt;=1, 11&lt;1+UsefulLife), C2/UsefulLife, 0)</f>
        <v>0</v>
      </c>
      <c r="N5" s="7">
        <f>IF(AND(12&gt;=1, 12&lt;1+UsefulLife), C2/UsefulLife, 0)</f>
        <v>0</v>
      </c>
      <c r="O5" s="7">
        <f>IF(AND(13&gt;=1, 13&lt;1+UsefulLife), C2/UsefulLife, 0)</f>
        <v>0</v>
      </c>
      <c r="P5" s="7">
        <f>IF(AND(14&gt;=1, 14&lt;1+UsefulLife), C2/UsefulLife, 0)</f>
        <v>0</v>
      </c>
      <c r="Q5" s="7">
        <f>IF(AND(15&gt;=1, 15&lt;1+UsefulLife), C2/UsefulLife, 0)</f>
        <v>0</v>
      </c>
      <c r="R5" s="7">
        <f>IF(AND(16&gt;=1, 16&lt;1+UsefulLife), C2/UsefulLife, 0)</f>
        <v>0</v>
      </c>
      <c r="S5" s="7">
        <f>IF(AND(17&gt;=1, 17&lt;1+UsefulLife), C2/UsefulLife, 0)</f>
        <v>0</v>
      </c>
      <c r="T5" s="7">
        <f>IF(AND(18&gt;=1, 18&lt;1+UsefulLife), C2/UsefulLife, 0)</f>
        <v>0</v>
      </c>
      <c r="U5" s="7">
        <f>IF(AND(19&gt;=1, 19&lt;1+UsefulLife), C2/UsefulLife, 0)</f>
        <v>0</v>
      </c>
      <c r="V5" s="7">
        <f>IF(AND(20&gt;=1, 20&lt;1+UsefulLife), C2/UsefulLife, 0)</f>
        <v>0</v>
      </c>
      <c r="W5" s="7">
        <f>IF(AND(21&gt;=1, 21&lt;1+UsefulLife), C2/UsefulLife, 0)</f>
        <v>0</v>
      </c>
      <c r="X5" s="7">
        <f>IF(AND(22&gt;=1, 22&lt;1+UsefulLife), C2/UsefulLife, 0)</f>
        <v>0</v>
      </c>
      <c r="Y5" s="7">
        <f>IF(AND(23&gt;=1, 23&lt;1+UsefulLife), C2/UsefulLife, 0)</f>
        <v>0</v>
      </c>
      <c r="Z5" s="7">
        <f>IF(AND(24&gt;=1, 24&lt;1+UsefulLife), C2/UsefulLife, 0)</f>
        <v>0</v>
      </c>
      <c r="AA5" s="7">
        <f>IF(AND(25&gt;=1, 25&lt;1+UsefulLife), C2/UsefulLife, 0)</f>
        <v>0</v>
      </c>
      <c r="AB5" s="7">
        <f>IF(AND(26&gt;=1, 26&lt;1+UsefulLife), C2/UsefulLife, 0)</f>
        <v>0</v>
      </c>
      <c r="AC5" s="7">
        <f>IF(AND(27&gt;=1, 27&lt;1+UsefulLife), C2/UsefulLife, 0)</f>
        <v>0</v>
      </c>
      <c r="AD5" s="7">
        <f>IF(AND(28&gt;=1, 28&lt;1+UsefulLife), C2/UsefulLife, 0)</f>
        <v>0</v>
      </c>
      <c r="AE5" s="7">
        <f>IF(AND(29&gt;=1, 29&lt;1+UsefulLife), C2/UsefulLife, 0)</f>
        <v>0</v>
      </c>
      <c r="AF5" s="7">
        <f>IF(AND(30&gt;=1, 30&lt;1+UsefulLife), C2/UsefulLife, 0)</f>
        <v>0</v>
      </c>
      <c r="AG5" s="7">
        <f>IF(AND(31&gt;=1, 31&lt;1+UsefulLife), C2/UsefulLife, 0)</f>
        <v>0</v>
      </c>
      <c r="AH5" s="7">
        <f>IF(AND(32&gt;=1, 32&lt;1+UsefulLife), C2/UsefulLife, 0)</f>
        <v>0</v>
      </c>
      <c r="AI5" s="7">
        <f>IF(AND(33&gt;=1, 33&lt;1+UsefulLife), C2/UsefulLife, 0)</f>
        <v>0</v>
      </c>
      <c r="AJ5" s="7">
        <f>IF(AND(34&gt;=1, 34&lt;1+UsefulLife), C2/UsefulLife, 0)</f>
        <v>0</v>
      </c>
      <c r="AK5" s="7">
        <f>IF(AND(35&gt;=1, 35&lt;1+UsefulLife), C2/UsefulLife, 0)</f>
        <v>0</v>
      </c>
    </row>
    <row r="6" spans="1:37">
      <c r="A6" s="3" t="s">
        <v>92</v>
      </c>
      <c r="B6" s="7">
        <f>IF(AND(0&gt;=2, 0&lt;2+UsefulLife), D2/UsefulLife, 0)</f>
        <v>0</v>
      </c>
      <c r="C6" s="7">
        <f>IF(AND(1&gt;=2, 1&lt;2+UsefulLife), D2/UsefulLife, 0)</f>
        <v>0</v>
      </c>
      <c r="D6" s="7">
        <f>IF(AND(2&gt;=2, 2&lt;2+UsefulLife), D2/UsefulLife, 0)</f>
        <v>0</v>
      </c>
      <c r="E6" s="7">
        <f>IF(AND(3&gt;=2, 3&lt;2+UsefulLife), D2/UsefulLife, 0)</f>
        <v>0</v>
      </c>
      <c r="F6" s="7">
        <f>IF(AND(4&gt;=2, 4&lt;2+UsefulLife), D2/UsefulLife, 0)</f>
        <v>0</v>
      </c>
      <c r="G6" s="7">
        <f>IF(AND(5&gt;=2, 5&lt;2+UsefulLife), D2/UsefulLife, 0)</f>
        <v>0</v>
      </c>
      <c r="H6" s="7">
        <f>IF(AND(6&gt;=2, 6&lt;2+UsefulLife), D2/UsefulLife, 0)</f>
        <v>0</v>
      </c>
      <c r="I6" s="7">
        <f>IF(AND(7&gt;=2, 7&lt;2+UsefulLife), D2/UsefulLife, 0)</f>
        <v>0</v>
      </c>
      <c r="J6" s="7">
        <f>IF(AND(8&gt;=2, 8&lt;2+UsefulLife), D2/UsefulLife, 0)</f>
        <v>0</v>
      </c>
      <c r="K6" s="7">
        <f>IF(AND(9&gt;=2, 9&lt;2+UsefulLife), D2/UsefulLife, 0)</f>
        <v>0</v>
      </c>
      <c r="L6" s="7">
        <f>IF(AND(10&gt;=2, 10&lt;2+UsefulLife), D2/UsefulLife, 0)</f>
        <v>0</v>
      </c>
      <c r="M6" s="7">
        <f>IF(AND(11&gt;=2, 11&lt;2+UsefulLife), D2/UsefulLife, 0)</f>
        <v>0</v>
      </c>
      <c r="N6" s="7">
        <f>IF(AND(12&gt;=2, 12&lt;2+UsefulLife), D2/UsefulLife, 0)</f>
        <v>0</v>
      </c>
      <c r="O6" s="7">
        <f>IF(AND(13&gt;=2, 13&lt;2+UsefulLife), D2/UsefulLife, 0)</f>
        <v>0</v>
      </c>
      <c r="P6" s="7">
        <f>IF(AND(14&gt;=2, 14&lt;2+UsefulLife), D2/UsefulLife, 0)</f>
        <v>0</v>
      </c>
      <c r="Q6" s="7">
        <f>IF(AND(15&gt;=2, 15&lt;2+UsefulLife), D2/UsefulLife, 0)</f>
        <v>0</v>
      </c>
      <c r="R6" s="7">
        <f>IF(AND(16&gt;=2, 16&lt;2+UsefulLife), D2/UsefulLife, 0)</f>
        <v>0</v>
      </c>
      <c r="S6" s="7">
        <f>IF(AND(17&gt;=2, 17&lt;2+UsefulLife), D2/UsefulLife, 0)</f>
        <v>0</v>
      </c>
      <c r="T6" s="7">
        <f>IF(AND(18&gt;=2, 18&lt;2+UsefulLife), D2/UsefulLife, 0)</f>
        <v>0</v>
      </c>
      <c r="U6" s="7">
        <f>IF(AND(19&gt;=2, 19&lt;2+UsefulLife), D2/UsefulLife, 0)</f>
        <v>0</v>
      </c>
      <c r="V6" s="7">
        <f>IF(AND(20&gt;=2, 20&lt;2+UsefulLife), D2/UsefulLife, 0)</f>
        <v>0</v>
      </c>
      <c r="W6" s="7">
        <f>IF(AND(21&gt;=2, 21&lt;2+UsefulLife), D2/UsefulLife, 0)</f>
        <v>0</v>
      </c>
      <c r="X6" s="7">
        <f>IF(AND(22&gt;=2, 22&lt;2+UsefulLife), D2/UsefulLife, 0)</f>
        <v>0</v>
      </c>
      <c r="Y6" s="7">
        <f>IF(AND(23&gt;=2, 23&lt;2+UsefulLife), D2/UsefulLife, 0)</f>
        <v>0</v>
      </c>
      <c r="Z6" s="7">
        <f>IF(AND(24&gt;=2, 24&lt;2+UsefulLife), D2/UsefulLife, 0)</f>
        <v>0</v>
      </c>
      <c r="AA6" s="7">
        <f>IF(AND(25&gt;=2, 25&lt;2+UsefulLife), D2/UsefulLife, 0)</f>
        <v>0</v>
      </c>
      <c r="AB6" s="7">
        <f>IF(AND(26&gt;=2, 26&lt;2+UsefulLife), D2/UsefulLife, 0)</f>
        <v>0</v>
      </c>
      <c r="AC6" s="7">
        <f>IF(AND(27&gt;=2, 27&lt;2+UsefulLife), D2/UsefulLife, 0)</f>
        <v>0</v>
      </c>
      <c r="AD6" s="7">
        <f>IF(AND(28&gt;=2, 28&lt;2+UsefulLife), D2/UsefulLife, 0)</f>
        <v>0</v>
      </c>
      <c r="AE6" s="7">
        <f>IF(AND(29&gt;=2, 29&lt;2+UsefulLife), D2/UsefulLife, 0)</f>
        <v>0</v>
      </c>
      <c r="AF6" s="7">
        <f>IF(AND(30&gt;=2, 30&lt;2+UsefulLife), D2/UsefulLife, 0)</f>
        <v>0</v>
      </c>
      <c r="AG6" s="7">
        <f>IF(AND(31&gt;=2, 31&lt;2+UsefulLife), D2/UsefulLife, 0)</f>
        <v>0</v>
      </c>
      <c r="AH6" s="7">
        <f>IF(AND(32&gt;=2, 32&lt;2+UsefulLife), D2/UsefulLife, 0)</f>
        <v>0</v>
      </c>
      <c r="AI6" s="7">
        <f>IF(AND(33&gt;=2, 33&lt;2+UsefulLife), D2/UsefulLife, 0)</f>
        <v>0</v>
      </c>
      <c r="AJ6" s="7">
        <f>IF(AND(34&gt;=2, 34&lt;2+UsefulLife), D2/UsefulLife, 0)</f>
        <v>0</v>
      </c>
      <c r="AK6" s="7">
        <f>IF(AND(35&gt;=2, 35&lt;2+UsefulLife), D2/UsefulLife, 0)</f>
        <v>0</v>
      </c>
    </row>
    <row r="7" spans="1:37">
      <c r="A7" s="3" t="s">
        <v>93</v>
      </c>
      <c r="B7" s="7">
        <f>IF(AND(0&gt;=3, 0&lt;3+UsefulLife), E2/UsefulLife, 0)</f>
        <v>0</v>
      </c>
      <c r="C7" s="7">
        <f>IF(AND(1&gt;=3, 1&lt;3+UsefulLife), E2/UsefulLife, 0)</f>
        <v>0</v>
      </c>
      <c r="D7" s="7">
        <f>IF(AND(2&gt;=3, 2&lt;3+UsefulLife), E2/UsefulLife, 0)</f>
        <v>0</v>
      </c>
      <c r="E7" s="7">
        <f>IF(AND(3&gt;=3, 3&lt;3+UsefulLife), E2/UsefulLife, 0)</f>
        <v>0</v>
      </c>
      <c r="F7" s="7">
        <f>IF(AND(4&gt;=3, 4&lt;3+UsefulLife), E2/UsefulLife, 0)</f>
        <v>0</v>
      </c>
      <c r="G7" s="7">
        <f>IF(AND(5&gt;=3, 5&lt;3+UsefulLife), E2/UsefulLife, 0)</f>
        <v>0</v>
      </c>
      <c r="H7" s="7">
        <f>IF(AND(6&gt;=3, 6&lt;3+UsefulLife), E2/UsefulLife, 0)</f>
        <v>0</v>
      </c>
      <c r="I7" s="7">
        <f>IF(AND(7&gt;=3, 7&lt;3+UsefulLife), E2/UsefulLife, 0)</f>
        <v>0</v>
      </c>
      <c r="J7" s="7">
        <f>IF(AND(8&gt;=3, 8&lt;3+UsefulLife), E2/UsefulLife, 0)</f>
        <v>0</v>
      </c>
      <c r="K7" s="7">
        <f>IF(AND(9&gt;=3, 9&lt;3+UsefulLife), E2/UsefulLife, 0)</f>
        <v>0</v>
      </c>
      <c r="L7" s="7">
        <f>IF(AND(10&gt;=3, 10&lt;3+UsefulLife), E2/UsefulLife, 0)</f>
        <v>0</v>
      </c>
      <c r="M7" s="7">
        <f>IF(AND(11&gt;=3, 11&lt;3+UsefulLife), E2/UsefulLife, 0)</f>
        <v>0</v>
      </c>
      <c r="N7" s="7">
        <f>IF(AND(12&gt;=3, 12&lt;3+UsefulLife), E2/UsefulLife, 0)</f>
        <v>0</v>
      </c>
      <c r="O7" s="7">
        <f>IF(AND(13&gt;=3, 13&lt;3+UsefulLife), E2/UsefulLife, 0)</f>
        <v>0</v>
      </c>
      <c r="P7" s="7">
        <f>IF(AND(14&gt;=3, 14&lt;3+UsefulLife), E2/UsefulLife, 0)</f>
        <v>0</v>
      </c>
      <c r="Q7" s="7">
        <f>IF(AND(15&gt;=3, 15&lt;3+UsefulLife), E2/UsefulLife, 0)</f>
        <v>0</v>
      </c>
      <c r="R7" s="7">
        <f>IF(AND(16&gt;=3, 16&lt;3+UsefulLife), E2/UsefulLife, 0)</f>
        <v>0</v>
      </c>
      <c r="S7" s="7">
        <f>IF(AND(17&gt;=3, 17&lt;3+UsefulLife), E2/UsefulLife, 0)</f>
        <v>0</v>
      </c>
      <c r="T7" s="7">
        <f>IF(AND(18&gt;=3, 18&lt;3+UsefulLife), E2/UsefulLife, 0)</f>
        <v>0</v>
      </c>
      <c r="U7" s="7">
        <f>IF(AND(19&gt;=3, 19&lt;3+UsefulLife), E2/UsefulLife, 0)</f>
        <v>0</v>
      </c>
      <c r="V7" s="7">
        <f>IF(AND(20&gt;=3, 20&lt;3+UsefulLife), E2/UsefulLife, 0)</f>
        <v>0</v>
      </c>
      <c r="W7" s="7">
        <f>IF(AND(21&gt;=3, 21&lt;3+UsefulLife), E2/UsefulLife, 0)</f>
        <v>0</v>
      </c>
      <c r="X7" s="7">
        <f>IF(AND(22&gt;=3, 22&lt;3+UsefulLife), E2/UsefulLife, 0)</f>
        <v>0</v>
      </c>
      <c r="Y7" s="7">
        <f>IF(AND(23&gt;=3, 23&lt;3+UsefulLife), E2/UsefulLife, 0)</f>
        <v>0</v>
      </c>
      <c r="Z7" s="7">
        <f>IF(AND(24&gt;=3, 24&lt;3+UsefulLife), E2/UsefulLife, 0)</f>
        <v>0</v>
      </c>
      <c r="AA7" s="7">
        <f>IF(AND(25&gt;=3, 25&lt;3+UsefulLife), E2/UsefulLife, 0)</f>
        <v>0</v>
      </c>
      <c r="AB7" s="7">
        <f>IF(AND(26&gt;=3, 26&lt;3+UsefulLife), E2/UsefulLife, 0)</f>
        <v>0</v>
      </c>
      <c r="AC7" s="7">
        <f>IF(AND(27&gt;=3, 27&lt;3+UsefulLife), E2/UsefulLife, 0)</f>
        <v>0</v>
      </c>
      <c r="AD7" s="7">
        <f>IF(AND(28&gt;=3, 28&lt;3+UsefulLife), E2/UsefulLife, 0)</f>
        <v>0</v>
      </c>
      <c r="AE7" s="7">
        <f>IF(AND(29&gt;=3, 29&lt;3+UsefulLife), E2/UsefulLife, 0)</f>
        <v>0</v>
      </c>
      <c r="AF7" s="7">
        <f>IF(AND(30&gt;=3, 30&lt;3+UsefulLife), E2/UsefulLife, 0)</f>
        <v>0</v>
      </c>
      <c r="AG7" s="7">
        <f>IF(AND(31&gt;=3, 31&lt;3+UsefulLife), E2/UsefulLife, 0)</f>
        <v>0</v>
      </c>
      <c r="AH7" s="7">
        <f>IF(AND(32&gt;=3, 32&lt;3+UsefulLife), E2/UsefulLife, 0)</f>
        <v>0</v>
      </c>
      <c r="AI7" s="7">
        <f>IF(AND(33&gt;=3, 33&lt;3+UsefulLife), E2/UsefulLife, 0)</f>
        <v>0</v>
      </c>
      <c r="AJ7" s="7">
        <f>IF(AND(34&gt;=3, 34&lt;3+UsefulLife), E2/UsefulLife, 0)</f>
        <v>0</v>
      </c>
      <c r="AK7" s="7">
        <f>IF(AND(35&gt;=3, 35&lt;3+UsefulLife), E2/UsefulLife, 0)</f>
        <v>0</v>
      </c>
    </row>
    <row r="8" spans="1:37">
      <c r="A8" s="3" t="s">
        <v>94</v>
      </c>
      <c r="B8" s="7">
        <f>IF(AND(0&gt;=4, 0&lt;4+UsefulLife), F2/UsefulLife, 0)</f>
        <v>0</v>
      </c>
      <c r="C8" s="7">
        <f>IF(AND(1&gt;=4, 1&lt;4+UsefulLife), F2/UsefulLife, 0)</f>
        <v>0</v>
      </c>
      <c r="D8" s="7">
        <f>IF(AND(2&gt;=4, 2&lt;4+UsefulLife), F2/UsefulLife, 0)</f>
        <v>0</v>
      </c>
      <c r="E8" s="7">
        <f>IF(AND(3&gt;=4, 3&lt;4+UsefulLife), F2/UsefulLife, 0)</f>
        <v>0</v>
      </c>
      <c r="F8" s="7">
        <f>IF(AND(4&gt;=4, 4&lt;4+UsefulLife), F2/UsefulLife, 0)</f>
        <v>0</v>
      </c>
      <c r="G8" s="7">
        <f>IF(AND(5&gt;=4, 5&lt;4+UsefulLife), F2/UsefulLife, 0)</f>
        <v>0</v>
      </c>
      <c r="H8" s="7">
        <f>IF(AND(6&gt;=4, 6&lt;4+UsefulLife), F2/UsefulLife, 0)</f>
        <v>0</v>
      </c>
      <c r="I8" s="7">
        <f>IF(AND(7&gt;=4, 7&lt;4+UsefulLife), F2/UsefulLife, 0)</f>
        <v>0</v>
      </c>
      <c r="J8" s="7">
        <f>IF(AND(8&gt;=4, 8&lt;4+UsefulLife), F2/UsefulLife, 0)</f>
        <v>0</v>
      </c>
      <c r="K8" s="7">
        <f>IF(AND(9&gt;=4, 9&lt;4+UsefulLife), F2/UsefulLife, 0)</f>
        <v>0</v>
      </c>
      <c r="L8" s="7">
        <f>IF(AND(10&gt;=4, 10&lt;4+UsefulLife), F2/UsefulLife, 0)</f>
        <v>0</v>
      </c>
      <c r="M8" s="7">
        <f>IF(AND(11&gt;=4, 11&lt;4+UsefulLife), F2/UsefulLife, 0)</f>
        <v>0</v>
      </c>
      <c r="N8" s="7">
        <f>IF(AND(12&gt;=4, 12&lt;4+UsefulLife), F2/UsefulLife, 0)</f>
        <v>0</v>
      </c>
      <c r="O8" s="7">
        <f>IF(AND(13&gt;=4, 13&lt;4+UsefulLife), F2/UsefulLife, 0)</f>
        <v>0</v>
      </c>
      <c r="P8" s="7">
        <f>IF(AND(14&gt;=4, 14&lt;4+UsefulLife), F2/UsefulLife, 0)</f>
        <v>0</v>
      </c>
      <c r="Q8" s="7">
        <f>IF(AND(15&gt;=4, 15&lt;4+UsefulLife), F2/UsefulLife, 0)</f>
        <v>0</v>
      </c>
      <c r="R8" s="7">
        <f>IF(AND(16&gt;=4, 16&lt;4+UsefulLife), F2/UsefulLife, 0)</f>
        <v>0</v>
      </c>
      <c r="S8" s="7">
        <f>IF(AND(17&gt;=4, 17&lt;4+UsefulLife), F2/UsefulLife, 0)</f>
        <v>0</v>
      </c>
      <c r="T8" s="7">
        <f>IF(AND(18&gt;=4, 18&lt;4+UsefulLife), F2/UsefulLife, 0)</f>
        <v>0</v>
      </c>
      <c r="U8" s="7">
        <f>IF(AND(19&gt;=4, 19&lt;4+UsefulLife), F2/UsefulLife, 0)</f>
        <v>0</v>
      </c>
      <c r="V8" s="7">
        <f>IF(AND(20&gt;=4, 20&lt;4+UsefulLife), F2/UsefulLife, 0)</f>
        <v>0</v>
      </c>
      <c r="W8" s="7">
        <f>IF(AND(21&gt;=4, 21&lt;4+UsefulLife), F2/UsefulLife, 0)</f>
        <v>0</v>
      </c>
      <c r="X8" s="7">
        <f>IF(AND(22&gt;=4, 22&lt;4+UsefulLife), F2/UsefulLife, 0)</f>
        <v>0</v>
      </c>
      <c r="Y8" s="7">
        <f>IF(AND(23&gt;=4, 23&lt;4+UsefulLife), F2/UsefulLife, 0)</f>
        <v>0</v>
      </c>
      <c r="Z8" s="7">
        <f>IF(AND(24&gt;=4, 24&lt;4+UsefulLife), F2/UsefulLife, 0)</f>
        <v>0</v>
      </c>
      <c r="AA8" s="7">
        <f>IF(AND(25&gt;=4, 25&lt;4+UsefulLife), F2/UsefulLife, 0)</f>
        <v>0</v>
      </c>
      <c r="AB8" s="7">
        <f>IF(AND(26&gt;=4, 26&lt;4+UsefulLife), F2/UsefulLife, 0)</f>
        <v>0</v>
      </c>
      <c r="AC8" s="7">
        <f>IF(AND(27&gt;=4, 27&lt;4+UsefulLife), F2/UsefulLife, 0)</f>
        <v>0</v>
      </c>
      <c r="AD8" s="7">
        <f>IF(AND(28&gt;=4, 28&lt;4+UsefulLife), F2/UsefulLife, 0)</f>
        <v>0</v>
      </c>
      <c r="AE8" s="7">
        <f>IF(AND(29&gt;=4, 29&lt;4+UsefulLife), F2/UsefulLife, 0)</f>
        <v>0</v>
      </c>
      <c r="AF8" s="7">
        <f>IF(AND(30&gt;=4, 30&lt;4+UsefulLife), F2/UsefulLife, 0)</f>
        <v>0</v>
      </c>
      <c r="AG8" s="7">
        <f>IF(AND(31&gt;=4, 31&lt;4+UsefulLife), F2/UsefulLife, 0)</f>
        <v>0</v>
      </c>
      <c r="AH8" s="7">
        <f>IF(AND(32&gt;=4, 32&lt;4+UsefulLife), F2/UsefulLife, 0)</f>
        <v>0</v>
      </c>
      <c r="AI8" s="7">
        <f>IF(AND(33&gt;=4, 33&lt;4+UsefulLife), F2/UsefulLife, 0)</f>
        <v>0</v>
      </c>
      <c r="AJ8" s="7">
        <f>IF(AND(34&gt;=4, 34&lt;4+UsefulLife), F2/UsefulLife, 0)</f>
        <v>0</v>
      </c>
      <c r="AK8" s="7">
        <f>IF(AND(35&gt;=4, 35&lt;4+UsefulLife), F2/UsefulLife, 0)</f>
        <v>0</v>
      </c>
    </row>
    <row r="9" spans="1:37">
      <c r="A9" s="3" t="s">
        <v>95</v>
      </c>
      <c r="B9" s="7">
        <f>IF(AND(0&gt;=5, 0&lt;5+UsefulLife), G2/UsefulLife, 0)</f>
        <v>0</v>
      </c>
      <c r="C9" s="7">
        <f>IF(AND(1&gt;=5, 1&lt;5+UsefulLife), G2/UsefulLife, 0)</f>
        <v>0</v>
      </c>
      <c r="D9" s="7">
        <f>IF(AND(2&gt;=5, 2&lt;5+UsefulLife), G2/UsefulLife, 0)</f>
        <v>0</v>
      </c>
      <c r="E9" s="7">
        <f>IF(AND(3&gt;=5, 3&lt;5+UsefulLife), G2/UsefulLife, 0)</f>
        <v>0</v>
      </c>
      <c r="F9" s="7">
        <f>IF(AND(4&gt;=5, 4&lt;5+UsefulLife), G2/UsefulLife, 0)</f>
        <v>0</v>
      </c>
      <c r="G9" s="7">
        <f>IF(AND(5&gt;=5, 5&lt;5+UsefulLife), G2/UsefulLife, 0)</f>
        <v>0</v>
      </c>
      <c r="H9" s="7">
        <f>IF(AND(6&gt;=5, 6&lt;5+UsefulLife), G2/UsefulLife, 0)</f>
        <v>0</v>
      </c>
      <c r="I9" s="7">
        <f>IF(AND(7&gt;=5, 7&lt;5+UsefulLife), G2/UsefulLife, 0)</f>
        <v>0</v>
      </c>
      <c r="J9" s="7">
        <f>IF(AND(8&gt;=5, 8&lt;5+UsefulLife), G2/UsefulLife, 0)</f>
        <v>0</v>
      </c>
      <c r="K9" s="7">
        <f>IF(AND(9&gt;=5, 9&lt;5+UsefulLife), G2/UsefulLife, 0)</f>
        <v>0</v>
      </c>
      <c r="L9" s="7">
        <f>IF(AND(10&gt;=5, 10&lt;5+UsefulLife), G2/UsefulLife, 0)</f>
        <v>0</v>
      </c>
      <c r="M9" s="7">
        <f>IF(AND(11&gt;=5, 11&lt;5+UsefulLife), G2/UsefulLife, 0)</f>
        <v>0</v>
      </c>
      <c r="N9" s="7">
        <f>IF(AND(12&gt;=5, 12&lt;5+UsefulLife), G2/UsefulLife, 0)</f>
        <v>0</v>
      </c>
      <c r="O9" s="7">
        <f>IF(AND(13&gt;=5, 13&lt;5+UsefulLife), G2/UsefulLife, 0)</f>
        <v>0</v>
      </c>
      <c r="P9" s="7">
        <f>IF(AND(14&gt;=5, 14&lt;5+UsefulLife), G2/UsefulLife, 0)</f>
        <v>0</v>
      </c>
      <c r="Q9" s="7">
        <f>IF(AND(15&gt;=5, 15&lt;5+UsefulLife), G2/UsefulLife, 0)</f>
        <v>0</v>
      </c>
      <c r="R9" s="7">
        <f>IF(AND(16&gt;=5, 16&lt;5+UsefulLife), G2/UsefulLife, 0)</f>
        <v>0</v>
      </c>
      <c r="S9" s="7">
        <f>IF(AND(17&gt;=5, 17&lt;5+UsefulLife), G2/UsefulLife, 0)</f>
        <v>0</v>
      </c>
      <c r="T9" s="7">
        <f>IF(AND(18&gt;=5, 18&lt;5+UsefulLife), G2/UsefulLife, 0)</f>
        <v>0</v>
      </c>
      <c r="U9" s="7">
        <f>IF(AND(19&gt;=5, 19&lt;5+UsefulLife), G2/UsefulLife, 0)</f>
        <v>0</v>
      </c>
      <c r="V9" s="7">
        <f>IF(AND(20&gt;=5, 20&lt;5+UsefulLife), G2/UsefulLife, 0)</f>
        <v>0</v>
      </c>
      <c r="W9" s="7">
        <f>IF(AND(21&gt;=5, 21&lt;5+UsefulLife), G2/UsefulLife, 0)</f>
        <v>0</v>
      </c>
      <c r="X9" s="7">
        <f>IF(AND(22&gt;=5, 22&lt;5+UsefulLife), G2/UsefulLife, 0)</f>
        <v>0</v>
      </c>
      <c r="Y9" s="7">
        <f>IF(AND(23&gt;=5, 23&lt;5+UsefulLife), G2/UsefulLife, 0)</f>
        <v>0</v>
      </c>
      <c r="Z9" s="7">
        <f>IF(AND(24&gt;=5, 24&lt;5+UsefulLife), G2/UsefulLife, 0)</f>
        <v>0</v>
      </c>
      <c r="AA9" s="7">
        <f>IF(AND(25&gt;=5, 25&lt;5+UsefulLife), G2/UsefulLife, 0)</f>
        <v>0</v>
      </c>
      <c r="AB9" s="7">
        <f>IF(AND(26&gt;=5, 26&lt;5+UsefulLife), G2/UsefulLife, 0)</f>
        <v>0</v>
      </c>
      <c r="AC9" s="7">
        <f>IF(AND(27&gt;=5, 27&lt;5+UsefulLife), G2/UsefulLife, 0)</f>
        <v>0</v>
      </c>
      <c r="AD9" s="7">
        <f>IF(AND(28&gt;=5, 28&lt;5+UsefulLife), G2/UsefulLife, 0)</f>
        <v>0</v>
      </c>
      <c r="AE9" s="7">
        <f>IF(AND(29&gt;=5, 29&lt;5+UsefulLife), G2/UsefulLife, 0)</f>
        <v>0</v>
      </c>
      <c r="AF9" s="7">
        <f>IF(AND(30&gt;=5, 30&lt;5+UsefulLife), G2/UsefulLife, 0)</f>
        <v>0</v>
      </c>
      <c r="AG9" s="7">
        <f>IF(AND(31&gt;=5, 31&lt;5+UsefulLife), G2/UsefulLife, 0)</f>
        <v>0</v>
      </c>
      <c r="AH9" s="7">
        <f>IF(AND(32&gt;=5, 32&lt;5+UsefulLife), G2/UsefulLife, 0)</f>
        <v>0</v>
      </c>
      <c r="AI9" s="7">
        <f>IF(AND(33&gt;=5, 33&lt;5+UsefulLife), G2/UsefulLife, 0)</f>
        <v>0</v>
      </c>
      <c r="AJ9" s="7">
        <f>IF(AND(34&gt;=5, 34&lt;5+UsefulLife), G2/UsefulLife, 0)</f>
        <v>0</v>
      </c>
      <c r="AK9" s="7">
        <f>IF(AND(35&gt;=5, 35&lt;5+UsefulLife), G2/UsefulLife, 0)</f>
        <v>0</v>
      </c>
    </row>
    <row r="10" spans="1:37">
      <c r="A10" s="3" t="s">
        <v>96</v>
      </c>
      <c r="B10" s="7">
        <f>IF(AND(0&gt;=6, 0&lt;6+UsefulLife), H2/UsefulLife, 0)</f>
        <v>0</v>
      </c>
      <c r="C10" s="7">
        <f>IF(AND(1&gt;=6, 1&lt;6+UsefulLife), H2/UsefulLife, 0)</f>
        <v>0</v>
      </c>
      <c r="D10" s="7">
        <f>IF(AND(2&gt;=6, 2&lt;6+UsefulLife), H2/UsefulLife, 0)</f>
        <v>0</v>
      </c>
      <c r="E10" s="7">
        <f>IF(AND(3&gt;=6, 3&lt;6+UsefulLife), H2/UsefulLife, 0)</f>
        <v>0</v>
      </c>
      <c r="F10" s="7">
        <f>IF(AND(4&gt;=6, 4&lt;6+UsefulLife), H2/UsefulLife, 0)</f>
        <v>0</v>
      </c>
      <c r="G10" s="7">
        <f>IF(AND(5&gt;=6, 5&lt;6+UsefulLife), H2/UsefulLife, 0)</f>
        <v>0</v>
      </c>
      <c r="H10" s="7">
        <f>IF(AND(6&gt;=6, 6&lt;6+UsefulLife), H2/UsefulLife, 0)</f>
        <v>0</v>
      </c>
      <c r="I10" s="7">
        <f>IF(AND(7&gt;=6, 7&lt;6+UsefulLife), H2/UsefulLife, 0)</f>
        <v>0</v>
      </c>
      <c r="J10" s="7">
        <f>IF(AND(8&gt;=6, 8&lt;6+UsefulLife), H2/UsefulLife, 0)</f>
        <v>0</v>
      </c>
      <c r="K10" s="7">
        <f>IF(AND(9&gt;=6, 9&lt;6+UsefulLife), H2/UsefulLife, 0)</f>
        <v>0</v>
      </c>
      <c r="L10" s="7">
        <f>IF(AND(10&gt;=6, 10&lt;6+UsefulLife), H2/UsefulLife, 0)</f>
        <v>0</v>
      </c>
      <c r="M10" s="7">
        <f>IF(AND(11&gt;=6, 11&lt;6+UsefulLife), H2/UsefulLife, 0)</f>
        <v>0</v>
      </c>
      <c r="N10" s="7">
        <f>IF(AND(12&gt;=6, 12&lt;6+UsefulLife), H2/UsefulLife, 0)</f>
        <v>0</v>
      </c>
      <c r="O10" s="7">
        <f>IF(AND(13&gt;=6, 13&lt;6+UsefulLife), H2/UsefulLife, 0)</f>
        <v>0</v>
      </c>
      <c r="P10" s="7">
        <f>IF(AND(14&gt;=6, 14&lt;6+UsefulLife), H2/UsefulLife, 0)</f>
        <v>0</v>
      </c>
      <c r="Q10" s="7">
        <f>IF(AND(15&gt;=6, 15&lt;6+UsefulLife), H2/UsefulLife, 0)</f>
        <v>0</v>
      </c>
      <c r="R10" s="7">
        <f>IF(AND(16&gt;=6, 16&lt;6+UsefulLife), H2/UsefulLife, 0)</f>
        <v>0</v>
      </c>
      <c r="S10" s="7">
        <f>IF(AND(17&gt;=6, 17&lt;6+UsefulLife), H2/UsefulLife, 0)</f>
        <v>0</v>
      </c>
      <c r="T10" s="7">
        <f>IF(AND(18&gt;=6, 18&lt;6+UsefulLife), H2/UsefulLife, 0)</f>
        <v>0</v>
      </c>
      <c r="U10" s="7">
        <f>IF(AND(19&gt;=6, 19&lt;6+UsefulLife), H2/UsefulLife, 0)</f>
        <v>0</v>
      </c>
      <c r="V10" s="7">
        <f>IF(AND(20&gt;=6, 20&lt;6+UsefulLife), H2/UsefulLife, 0)</f>
        <v>0</v>
      </c>
      <c r="W10" s="7">
        <f>IF(AND(21&gt;=6, 21&lt;6+UsefulLife), H2/UsefulLife, 0)</f>
        <v>0</v>
      </c>
      <c r="X10" s="7">
        <f>IF(AND(22&gt;=6, 22&lt;6+UsefulLife), H2/UsefulLife, 0)</f>
        <v>0</v>
      </c>
      <c r="Y10" s="7">
        <f>IF(AND(23&gt;=6, 23&lt;6+UsefulLife), H2/UsefulLife, 0)</f>
        <v>0</v>
      </c>
      <c r="Z10" s="7">
        <f>IF(AND(24&gt;=6, 24&lt;6+UsefulLife), H2/UsefulLife, 0)</f>
        <v>0</v>
      </c>
      <c r="AA10" s="7">
        <f>IF(AND(25&gt;=6, 25&lt;6+UsefulLife), H2/UsefulLife, 0)</f>
        <v>0</v>
      </c>
      <c r="AB10" s="7">
        <f>IF(AND(26&gt;=6, 26&lt;6+UsefulLife), H2/UsefulLife, 0)</f>
        <v>0</v>
      </c>
      <c r="AC10" s="7">
        <f>IF(AND(27&gt;=6, 27&lt;6+UsefulLife), H2/UsefulLife, 0)</f>
        <v>0</v>
      </c>
      <c r="AD10" s="7">
        <f>IF(AND(28&gt;=6, 28&lt;6+UsefulLife), H2/UsefulLife, 0)</f>
        <v>0</v>
      </c>
      <c r="AE10" s="7">
        <f>IF(AND(29&gt;=6, 29&lt;6+UsefulLife), H2/UsefulLife, 0)</f>
        <v>0</v>
      </c>
      <c r="AF10" s="7">
        <f>IF(AND(30&gt;=6, 30&lt;6+UsefulLife), H2/UsefulLife, 0)</f>
        <v>0</v>
      </c>
      <c r="AG10" s="7">
        <f>IF(AND(31&gt;=6, 31&lt;6+UsefulLife), H2/UsefulLife, 0)</f>
        <v>0</v>
      </c>
      <c r="AH10" s="7">
        <f>IF(AND(32&gt;=6, 32&lt;6+UsefulLife), H2/UsefulLife, 0)</f>
        <v>0</v>
      </c>
      <c r="AI10" s="7">
        <f>IF(AND(33&gt;=6, 33&lt;6+UsefulLife), H2/UsefulLife, 0)</f>
        <v>0</v>
      </c>
      <c r="AJ10" s="7">
        <f>IF(AND(34&gt;=6, 34&lt;6+UsefulLife), H2/UsefulLife, 0)</f>
        <v>0</v>
      </c>
      <c r="AK10" s="7">
        <f>IF(AND(35&gt;=6, 35&lt;6+UsefulLife), H2/UsefulLife, 0)</f>
        <v>0</v>
      </c>
    </row>
    <row r="11" spans="1:37">
      <c r="A11" s="3" t="s">
        <v>97</v>
      </c>
      <c r="B11" s="7">
        <f>IF(AND(0&gt;=7, 0&lt;7+UsefulLife), I2/UsefulLife, 0)</f>
        <v>0</v>
      </c>
      <c r="C11" s="7">
        <f>IF(AND(1&gt;=7, 1&lt;7+UsefulLife), I2/UsefulLife, 0)</f>
        <v>0</v>
      </c>
      <c r="D11" s="7">
        <f>IF(AND(2&gt;=7, 2&lt;7+UsefulLife), I2/UsefulLife, 0)</f>
        <v>0</v>
      </c>
      <c r="E11" s="7">
        <f>IF(AND(3&gt;=7, 3&lt;7+UsefulLife), I2/UsefulLife, 0)</f>
        <v>0</v>
      </c>
      <c r="F11" s="7">
        <f>IF(AND(4&gt;=7, 4&lt;7+UsefulLife), I2/UsefulLife, 0)</f>
        <v>0</v>
      </c>
      <c r="G11" s="7">
        <f>IF(AND(5&gt;=7, 5&lt;7+UsefulLife), I2/UsefulLife, 0)</f>
        <v>0</v>
      </c>
      <c r="H11" s="7">
        <f>IF(AND(6&gt;=7, 6&lt;7+UsefulLife), I2/UsefulLife, 0)</f>
        <v>0</v>
      </c>
      <c r="I11" s="7">
        <f>IF(AND(7&gt;=7, 7&lt;7+UsefulLife), I2/UsefulLife, 0)</f>
        <v>0</v>
      </c>
      <c r="J11" s="7">
        <f>IF(AND(8&gt;=7, 8&lt;7+UsefulLife), I2/UsefulLife, 0)</f>
        <v>0</v>
      </c>
      <c r="K11" s="7">
        <f>IF(AND(9&gt;=7, 9&lt;7+UsefulLife), I2/UsefulLife, 0)</f>
        <v>0</v>
      </c>
      <c r="L11" s="7">
        <f>IF(AND(10&gt;=7, 10&lt;7+UsefulLife), I2/UsefulLife, 0)</f>
        <v>0</v>
      </c>
      <c r="M11" s="7">
        <f>IF(AND(11&gt;=7, 11&lt;7+UsefulLife), I2/UsefulLife, 0)</f>
        <v>0</v>
      </c>
      <c r="N11" s="7">
        <f>IF(AND(12&gt;=7, 12&lt;7+UsefulLife), I2/UsefulLife, 0)</f>
        <v>0</v>
      </c>
      <c r="O11" s="7">
        <f>IF(AND(13&gt;=7, 13&lt;7+UsefulLife), I2/UsefulLife, 0)</f>
        <v>0</v>
      </c>
      <c r="P11" s="7">
        <f>IF(AND(14&gt;=7, 14&lt;7+UsefulLife), I2/UsefulLife, 0)</f>
        <v>0</v>
      </c>
      <c r="Q11" s="7">
        <f>IF(AND(15&gt;=7, 15&lt;7+UsefulLife), I2/UsefulLife, 0)</f>
        <v>0</v>
      </c>
      <c r="R11" s="7">
        <f>IF(AND(16&gt;=7, 16&lt;7+UsefulLife), I2/UsefulLife, 0)</f>
        <v>0</v>
      </c>
      <c r="S11" s="7">
        <f>IF(AND(17&gt;=7, 17&lt;7+UsefulLife), I2/UsefulLife, 0)</f>
        <v>0</v>
      </c>
      <c r="T11" s="7">
        <f>IF(AND(18&gt;=7, 18&lt;7+UsefulLife), I2/UsefulLife, 0)</f>
        <v>0</v>
      </c>
      <c r="U11" s="7">
        <f>IF(AND(19&gt;=7, 19&lt;7+UsefulLife), I2/UsefulLife, 0)</f>
        <v>0</v>
      </c>
      <c r="V11" s="7">
        <f>IF(AND(20&gt;=7, 20&lt;7+UsefulLife), I2/UsefulLife, 0)</f>
        <v>0</v>
      </c>
      <c r="W11" s="7">
        <f>IF(AND(21&gt;=7, 21&lt;7+UsefulLife), I2/UsefulLife, 0)</f>
        <v>0</v>
      </c>
      <c r="X11" s="7">
        <f>IF(AND(22&gt;=7, 22&lt;7+UsefulLife), I2/UsefulLife, 0)</f>
        <v>0</v>
      </c>
      <c r="Y11" s="7">
        <f>IF(AND(23&gt;=7, 23&lt;7+UsefulLife), I2/UsefulLife, 0)</f>
        <v>0</v>
      </c>
      <c r="Z11" s="7">
        <f>IF(AND(24&gt;=7, 24&lt;7+UsefulLife), I2/UsefulLife, 0)</f>
        <v>0</v>
      </c>
      <c r="AA11" s="7">
        <f>IF(AND(25&gt;=7, 25&lt;7+UsefulLife), I2/UsefulLife, 0)</f>
        <v>0</v>
      </c>
      <c r="AB11" s="7">
        <f>IF(AND(26&gt;=7, 26&lt;7+UsefulLife), I2/UsefulLife, 0)</f>
        <v>0</v>
      </c>
      <c r="AC11" s="7">
        <f>IF(AND(27&gt;=7, 27&lt;7+UsefulLife), I2/UsefulLife, 0)</f>
        <v>0</v>
      </c>
      <c r="AD11" s="7">
        <f>IF(AND(28&gt;=7, 28&lt;7+UsefulLife), I2/UsefulLife, 0)</f>
        <v>0</v>
      </c>
      <c r="AE11" s="7">
        <f>IF(AND(29&gt;=7, 29&lt;7+UsefulLife), I2/UsefulLife, 0)</f>
        <v>0</v>
      </c>
      <c r="AF11" s="7">
        <f>IF(AND(30&gt;=7, 30&lt;7+UsefulLife), I2/UsefulLife, 0)</f>
        <v>0</v>
      </c>
      <c r="AG11" s="7">
        <f>IF(AND(31&gt;=7, 31&lt;7+UsefulLife), I2/UsefulLife, 0)</f>
        <v>0</v>
      </c>
      <c r="AH11" s="7">
        <f>IF(AND(32&gt;=7, 32&lt;7+UsefulLife), I2/UsefulLife, 0)</f>
        <v>0</v>
      </c>
      <c r="AI11" s="7">
        <f>IF(AND(33&gt;=7, 33&lt;7+UsefulLife), I2/UsefulLife, 0)</f>
        <v>0</v>
      </c>
      <c r="AJ11" s="7">
        <f>IF(AND(34&gt;=7, 34&lt;7+UsefulLife), I2/UsefulLife, 0)</f>
        <v>0</v>
      </c>
      <c r="AK11" s="7">
        <f>IF(AND(35&gt;=7, 35&lt;7+UsefulLife), I2/UsefulLife, 0)</f>
        <v>0</v>
      </c>
    </row>
    <row r="12" spans="1:37">
      <c r="A12" s="3" t="s">
        <v>98</v>
      </c>
      <c r="B12" s="7">
        <f>IF(AND(0&gt;=8, 0&lt;8+UsefulLife), J2/UsefulLife, 0)</f>
        <v>0</v>
      </c>
      <c r="C12" s="7">
        <f>IF(AND(1&gt;=8, 1&lt;8+UsefulLife), J2/UsefulLife, 0)</f>
        <v>0</v>
      </c>
      <c r="D12" s="7">
        <f>IF(AND(2&gt;=8, 2&lt;8+UsefulLife), J2/UsefulLife, 0)</f>
        <v>0</v>
      </c>
      <c r="E12" s="7">
        <f>IF(AND(3&gt;=8, 3&lt;8+UsefulLife), J2/UsefulLife, 0)</f>
        <v>0</v>
      </c>
      <c r="F12" s="7">
        <f>IF(AND(4&gt;=8, 4&lt;8+UsefulLife), J2/UsefulLife, 0)</f>
        <v>0</v>
      </c>
      <c r="G12" s="7">
        <f>IF(AND(5&gt;=8, 5&lt;8+UsefulLife), J2/UsefulLife, 0)</f>
        <v>0</v>
      </c>
      <c r="H12" s="7">
        <f>IF(AND(6&gt;=8, 6&lt;8+UsefulLife), J2/UsefulLife, 0)</f>
        <v>0</v>
      </c>
      <c r="I12" s="7">
        <f>IF(AND(7&gt;=8, 7&lt;8+UsefulLife), J2/UsefulLife, 0)</f>
        <v>0</v>
      </c>
      <c r="J12" s="7">
        <f>IF(AND(8&gt;=8, 8&lt;8+UsefulLife), J2/UsefulLife, 0)</f>
        <v>0</v>
      </c>
      <c r="K12" s="7">
        <f>IF(AND(9&gt;=8, 9&lt;8+UsefulLife), J2/UsefulLife, 0)</f>
        <v>0</v>
      </c>
      <c r="L12" s="7">
        <f>IF(AND(10&gt;=8, 10&lt;8+UsefulLife), J2/UsefulLife, 0)</f>
        <v>0</v>
      </c>
      <c r="M12" s="7">
        <f>IF(AND(11&gt;=8, 11&lt;8+UsefulLife), J2/UsefulLife, 0)</f>
        <v>0</v>
      </c>
      <c r="N12" s="7">
        <f>IF(AND(12&gt;=8, 12&lt;8+UsefulLife), J2/UsefulLife, 0)</f>
        <v>0</v>
      </c>
      <c r="O12" s="7">
        <f>IF(AND(13&gt;=8, 13&lt;8+UsefulLife), J2/UsefulLife, 0)</f>
        <v>0</v>
      </c>
      <c r="P12" s="7">
        <f>IF(AND(14&gt;=8, 14&lt;8+UsefulLife), J2/UsefulLife, 0)</f>
        <v>0</v>
      </c>
      <c r="Q12" s="7">
        <f>IF(AND(15&gt;=8, 15&lt;8+UsefulLife), J2/UsefulLife, 0)</f>
        <v>0</v>
      </c>
      <c r="R12" s="7">
        <f>IF(AND(16&gt;=8, 16&lt;8+UsefulLife), J2/UsefulLife, 0)</f>
        <v>0</v>
      </c>
      <c r="S12" s="7">
        <f>IF(AND(17&gt;=8, 17&lt;8+UsefulLife), J2/UsefulLife, 0)</f>
        <v>0</v>
      </c>
      <c r="T12" s="7">
        <f>IF(AND(18&gt;=8, 18&lt;8+UsefulLife), J2/UsefulLife, 0)</f>
        <v>0</v>
      </c>
      <c r="U12" s="7">
        <f>IF(AND(19&gt;=8, 19&lt;8+UsefulLife), J2/UsefulLife, 0)</f>
        <v>0</v>
      </c>
      <c r="V12" s="7">
        <f>IF(AND(20&gt;=8, 20&lt;8+UsefulLife), J2/UsefulLife, 0)</f>
        <v>0</v>
      </c>
      <c r="W12" s="7">
        <f>IF(AND(21&gt;=8, 21&lt;8+UsefulLife), J2/UsefulLife, 0)</f>
        <v>0</v>
      </c>
      <c r="X12" s="7">
        <f>IF(AND(22&gt;=8, 22&lt;8+UsefulLife), J2/UsefulLife, 0)</f>
        <v>0</v>
      </c>
      <c r="Y12" s="7">
        <f>IF(AND(23&gt;=8, 23&lt;8+UsefulLife), J2/UsefulLife, 0)</f>
        <v>0</v>
      </c>
      <c r="Z12" s="7">
        <f>IF(AND(24&gt;=8, 24&lt;8+UsefulLife), J2/UsefulLife, 0)</f>
        <v>0</v>
      </c>
      <c r="AA12" s="7">
        <f>IF(AND(25&gt;=8, 25&lt;8+UsefulLife), J2/UsefulLife, 0)</f>
        <v>0</v>
      </c>
      <c r="AB12" s="7">
        <f>IF(AND(26&gt;=8, 26&lt;8+UsefulLife), J2/UsefulLife, 0)</f>
        <v>0</v>
      </c>
      <c r="AC12" s="7">
        <f>IF(AND(27&gt;=8, 27&lt;8+UsefulLife), J2/UsefulLife, 0)</f>
        <v>0</v>
      </c>
      <c r="AD12" s="7">
        <f>IF(AND(28&gt;=8, 28&lt;8+UsefulLife), J2/UsefulLife, 0)</f>
        <v>0</v>
      </c>
      <c r="AE12" s="7">
        <f>IF(AND(29&gt;=8, 29&lt;8+UsefulLife), J2/UsefulLife, 0)</f>
        <v>0</v>
      </c>
      <c r="AF12" s="7">
        <f>IF(AND(30&gt;=8, 30&lt;8+UsefulLife), J2/UsefulLife, 0)</f>
        <v>0</v>
      </c>
      <c r="AG12" s="7">
        <f>IF(AND(31&gt;=8, 31&lt;8+UsefulLife), J2/UsefulLife, 0)</f>
        <v>0</v>
      </c>
      <c r="AH12" s="7">
        <f>IF(AND(32&gt;=8, 32&lt;8+UsefulLife), J2/UsefulLife, 0)</f>
        <v>0</v>
      </c>
      <c r="AI12" s="7">
        <f>IF(AND(33&gt;=8, 33&lt;8+UsefulLife), J2/UsefulLife, 0)</f>
        <v>0</v>
      </c>
      <c r="AJ12" s="7">
        <f>IF(AND(34&gt;=8, 34&lt;8+UsefulLife), J2/UsefulLife, 0)</f>
        <v>0</v>
      </c>
      <c r="AK12" s="7">
        <f>IF(AND(35&gt;=8, 35&lt;8+UsefulLife), J2/UsefulLife, 0)</f>
        <v>0</v>
      </c>
    </row>
    <row r="13" spans="1:37">
      <c r="A13" s="3" t="s">
        <v>99</v>
      </c>
      <c r="B13" s="7">
        <f>IF(AND(0&gt;=9, 0&lt;9+UsefulLife), K2/UsefulLife, 0)</f>
        <v>0</v>
      </c>
      <c r="C13" s="7">
        <f>IF(AND(1&gt;=9, 1&lt;9+UsefulLife), K2/UsefulLife, 0)</f>
        <v>0</v>
      </c>
      <c r="D13" s="7">
        <f>IF(AND(2&gt;=9, 2&lt;9+UsefulLife), K2/UsefulLife, 0)</f>
        <v>0</v>
      </c>
      <c r="E13" s="7">
        <f>IF(AND(3&gt;=9, 3&lt;9+UsefulLife), K2/UsefulLife, 0)</f>
        <v>0</v>
      </c>
      <c r="F13" s="7">
        <f>IF(AND(4&gt;=9, 4&lt;9+UsefulLife), K2/UsefulLife, 0)</f>
        <v>0</v>
      </c>
      <c r="G13" s="7">
        <f>IF(AND(5&gt;=9, 5&lt;9+UsefulLife), K2/UsefulLife, 0)</f>
        <v>0</v>
      </c>
      <c r="H13" s="7">
        <f>IF(AND(6&gt;=9, 6&lt;9+UsefulLife), K2/UsefulLife, 0)</f>
        <v>0</v>
      </c>
      <c r="I13" s="7">
        <f>IF(AND(7&gt;=9, 7&lt;9+UsefulLife), K2/UsefulLife, 0)</f>
        <v>0</v>
      </c>
      <c r="J13" s="7">
        <f>IF(AND(8&gt;=9, 8&lt;9+UsefulLife), K2/UsefulLife, 0)</f>
        <v>0</v>
      </c>
      <c r="K13" s="7">
        <f>IF(AND(9&gt;=9, 9&lt;9+UsefulLife), K2/UsefulLife, 0)</f>
        <v>0</v>
      </c>
      <c r="L13" s="7">
        <f>IF(AND(10&gt;=9, 10&lt;9+UsefulLife), K2/UsefulLife, 0)</f>
        <v>0</v>
      </c>
      <c r="M13" s="7">
        <f>IF(AND(11&gt;=9, 11&lt;9+UsefulLife), K2/UsefulLife, 0)</f>
        <v>0</v>
      </c>
      <c r="N13" s="7">
        <f>IF(AND(12&gt;=9, 12&lt;9+UsefulLife), K2/UsefulLife, 0)</f>
        <v>0</v>
      </c>
      <c r="O13" s="7">
        <f>IF(AND(13&gt;=9, 13&lt;9+UsefulLife), K2/UsefulLife, 0)</f>
        <v>0</v>
      </c>
      <c r="P13" s="7">
        <f>IF(AND(14&gt;=9, 14&lt;9+UsefulLife), K2/UsefulLife, 0)</f>
        <v>0</v>
      </c>
      <c r="Q13" s="7">
        <f>IF(AND(15&gt;=9, 15&lt;9+UsefulLife), K2/UsefulLife, 0)</f>
        <v>0</v>
      </c>
      <c r="R13" s="7">
        <f>IF(AND(16&gt;=9, 16&lt;9+UsefulLife), K2/UsefulLife, 0)</f>
        <v>0</v>
      </c>
      <c r="S13" s="7">
        <f>IF(AND(17&gt;=9, 17&lt;9+UsefulLife), K2/UsefulLife, 0)</f>
        <v>0</v>
      </c>
      <c r="T13" s="7">
        <f>IF(AND(18&gt;=9, 18&lt;9+UsefulLife), K2/UsefulLife, 0)</f>
        <v>0</v>
      </c>
      <c r="U13" s="7">
        <f>IF(AND(19&gt;=9, 19&lt;9+UsefulLife), K2/UsefulLife, 0)</f>
        <v>0</v>
      </c>
      <c r="V13" s="7">
        <f>IF(AND(20&gt;=9, 20&lt;9+UsefulLife), K2/UsefulLife, 0)</f>
        <v>0</v>
      </c>
      <c r="W13" s="7">
        <f>IF(AND(21&gt;=9, 21&lt;9+UsefulLife), K2/UsefulLife, 0)</f>
        <v>0</v>
      </c>
      <c r="X13" s="7">
        <f>IF(AND(22&gt;=9, 22&lt;9+UsefulLife), K2/UsefulLife, 0)</f>
        <v>0</v>
      </c>
      <c r="Y13" s="7">
        <f>IF(AND(23&gt;=9, 23&lt;9+UsefulLife), K2/UsefulLife, 0)</f>
        <v>0</v>
      </c>
      <c r="Z13" s="7">
        <f>IF(AND(24&gt;=9, 24&lt;9+UsefulLife), K2/UsefulLife, 0)</f>
        <v>0</v>
      </c>
      <c r="AA13" s="7">
        <f>IF(AND(25&gt;=9, 25&lt;9+UsefulLife), K2/UsefulLife, 0)</f>
        <v>0</v>
      </c>
      <c r="AB13" s="7">
        <f>IF(AND(26&gt;=9, 26&lt;9+UsefulLife), K2/UsefulLife, 0)</f>
        <v>0</v>
      </c>
      <c r="AC13" s="7">
        <f>IF(AND(27&gt;=9, 27&lt;9+UsefulLife), K2/UsefulLife, 0)</f>
        <v>0</v>
      </c>
      <c r="AD13" s="7">
        <f>IF(AND(28&gt;=9, 28&lt;9+UsefulLife), K2/UsefulLife, 0)</f>
        <v>0</v>
      </c>
      <c r="AE13" s="7">
        <f>IF(AND(29&gt;=9, 29&lt;9+UsefulLife), K2/UsefulLife, 0)</f>
        <v>0</v>
      </c>
      <c r="AF13" s="7">
        <f>IF(AND(30&gt;=9, 30&lt;9+UsefulLife), K2/UsefulLife, 0)</f>
        <v>0</v>
      </c>
      <c r="AG13" s="7">
        <f>IF(AND(31&gt;=9, 31&lt;9+UsefulLife), K2/UsefulLife, 0)</f>
        <v>0</v>
      </c>
      <c r="AH13" s="7">
        <f>IF(AND(32&gt;=9, 32&lt;9+UsefulLife), K2/UsefulLife, 0)</f>
        <v>0</v>
      </c>
      <c r="AI13" s="7">
        <f>IF(AND(33&gt;=9, 33&lt;9+UsefulLife), K2/UsefulLife, 0)</f>
        <v>0</v>
      </c>
      <c r="AJ13" s="7">
        <f>IF(AND(34&gt;=9, 34&lt;9+UsefulLife), K2/UsefulLife, 0)</f>
        <v>0</v>
      </c>
      <c r="AK13" s="7">
        <f>IF(AND(35&gt;=9, 35&lt;9+UsefulLife), K2/UsefulLife, 0)</f>
        <v>0</v>
      </c>
    </row>
    <row r="14" spans="1:37">
      <c r="A14" s="3" t="s">
        <v>100</v>
      </c>
      <c r="B14" s="7">
        <f>IF(AND(0&gt;=10, 0&lt;10+UsefulLife), L2/UsefulLife, 0)</f>
        <v>0</v>
      </c>
      <c r="C14" s="7">
        <f>IF(AND(1&gt;=10, 1&lt;10+UsefulLife), L2/UsefulLife, 0)</f>
        <v>0</v>
      </c>
      <c r="D14" s="7">
        <f>IF(AND(2&gt;=10, 2&lt;10+UsefulLife), L2/UsefulLife, 0)</f>
        <v>0</v>
      </c>
      <c r="E14" s="7">
        <f>IF(AND(3&gt;=10, 3&lt;10+UsefulLife), L2/UsefulLife, 0)</f>
        <v>0</v>
      </c>
      <c r="F14" s="7">
        <f>IF(AND(4&gt;=10, 4&lt;10+UsefulLife), L2/UsefulLife, 0)</f>
        <v>0</v>
      </c>
      <c r="G14" s="7">
        <f>IF(AND(5&gt;=10, 5&lt;10+UsefulLife), L2/UsefulLife, 0)</f>
        <v>0</v>
      </c>
      <c r="H14" s="7">
        <f>IF(AND(6&gt;=10, 6&lt;10+UsefulLife), L2/UsefulLife, 0)</f>
        <v>0</v>
      </c>
      <c r="I14" s="7">
        <f>IF(AND(7&gt;=10, 7&lt;10+UsefulLife), L2/UsefulLife, 0)</f>
        <v>0</v>
      </c>
      <c r="J14" s="7">
        <f>IF(AND(8&gt;=10, 8&lt;10+UsefulLife), L2/UsefulLife, 0)</f>
        <v>0</v>
      </c>
      <c r="K14" s="7">
        <f>IF(AND(9&gt;=10, 9&lt;10+UsefulLife), L2/UsefulLife, 0)</f>
        <v>0</v>
      </c>
      <c r="L14" s="7">
        <f>IF(AND(10&gt;=10, 10&lt;10+UsefulLife), L2/UsefulLife, 0)</f>
        <v>0</v>
      </c>
      <c r="M14" s="7">
        <f>IF(AND(11&gt;=10, 11&lt;10+UsefulLife), L2/UsefulLife, 0)</f>
        <v>0</v>
      </c>
      <c r="N14" s="7">
        <f>IF(AND(12&gt;=10, 12&lt;10+UsefulLife), L2/UsefulLife, 0)</f>
        <v>0</v>
      </c>
      <c r="O14" s="7">
        <f>IF(AND(13&gt;=10, 13&lt;10+UsefulLife), L2/UsefulLife, 0)</f>
        <v>0</v>
      </c>
      <c r="P14" s="7">
        <f>IF(AND(14&gt;=10, 14&lt;10+UsefulLife), L2/UsefulLife, 0)</f>
        <v>0</v>
      </c>
      <c r="Q14" s="7">
        <f>IF(AND(15&gt;=10, 15&lt;10+UsefulLife), L2/UsefulLife, 0)</f>
        <v>0</v>
      </c>
      <c r="R14" s="7">
        <f>IF(AND(16&gt;=10, 16&lt;10+UsefulLife), L2/UsefulLife, 0)</f>
        <v>0</v>
      </c>
      <c r="S14" s="7">
        <f>IF(AND(17&gt;=10, 17&lt;10+UsefulLife), L2/UsefulLife, 0)</f>
        <v>0</v>
      </c>
      <c r="T14" s="7">
        <f>IF(AND(18&gt;=10, 18&lt;10+UsefulLife), L2/UsefulLife, 0)</f>
        <v>0</v>
      </c>
      <c r="U14" s="7">
        <f>IF(AND(19&gt;=10, 19&lt;10+UsefulLife), L2/UsefulLife, 0)</f>
        <v>0</v>
      </c>
      <c r="V14" s="7">
        <f>IF(AND(20&gt;=10, 20&lt;10+UsefulLife), L2/UsefulLife, 0)</f>
        <v>0</v>
      </c>
      <c r="W14" s="7">
        <f>IF(AND(21&gt;=10, 21&lt;10+UsefulLife), L2/UsefulLife, 0)</f>
        <v>0</v>
      </c>
      <c r="X14" s="7">
        <f>IF(AND(22&gt;=10, 22&lt;10+UsefulLife), L2/UsefulLife, 0)</f>
        <v>0</v>
      </c>
      <c r="Y14" s="7">
        <f>IF(AND(23&gt;=10, 23&lt;10+UsefulLife), L2/UsefulLife, 0)</f>
        <v>0</v>
      </c>
      <c r="Z14" s="7">
        <f>IF(AND(24&gt;=10, 24&lt;10+UsefulLife), L2/UsefulLife, 0)</f>
        <v>0</v>
      </c>
      <c r="AA14" s="7">
        <f>IF(AND(25&gt;=10, 25&lt;10+UsefulLife), L2/UsefulLife, 0)</f>
        <v>0</v>
      </c>
      <c r="AB14" s="7">
        <f>IF(AND(26&gt;=10, 26&lt;10+UsefulLife), L2/UsefulLife, 0)</f>
        <v>0</v>
      </c>
      <c r="AC14" s="7">
        <f>IF(AND(27&gt;=10, 27&lt;10+UsefulLife), L2/UsefulLife, 0)</f>
        <v>0</v>
      </c>
      <c r="AD14" s="7">
        <f>IF(AND(28&gt;=10, 28&lt;10+UsefulLife), L2/UsefulLife, 0)</f>
        <v>0</v>
      </c>
      <c r="AE14" s="7">
        <f>IF(AND(29&gt;=10, 29&lt;10+UsefulLife), L2/UsefulLife, 0)</f>
        <v>0</v>
      </c>
      <c r="AF14" s="7">
        <f>IF(AND(30&gt;=10, 30&lt;10+UsefulLife), L2/UsefulLife, 0)</f>
        <v>0</v>
      </c>
      <c r="AG14" s="7">
        <f>IF(AND(31&gt;=10, 31&lt;10+UsefulLife), L2/UsefulLife, 0)</f>
        <v>0</v>
      </c>
      <c r="AH14" s="7">
        <f>IF(AND(32&gt;=10, 32&lt;10+UsefulLife), L2/UsefulLife, 0)</f>
        <v>0</v>
      </c>
      <c r="AI14" s="7">
        <f>IF(AND(33&gt;=10, 33&lt;10+UsefulLife), L2/UsefulLife, 0)</f>
        <v>0</v>
      </c>
      <c r="AJ14" s="7">
        <f>IF(AND(34&gt;=10, 34&lt;10+UsefulLife), L2/UsefulLife, 0)</f>
        <v>0</v>
      </c>
      <c r="AK14" s="7">
        <f>IF(AND(35&gt;=10, 35&lt;10+UsefulLife), L2/UsefulLife, 0)</f>
        <v>0</v>
      </c>
    </row>
    <row r="15" spans="1:37">
      <c r="A15" s="3" t="s">
        <v>101</v>
      </c>
      <c r="B15" s="7">
        <f>IF(AND(0&gt;=11, 0&lt;11+UsefulLife), M2/UsefulLife, 0)</f>
        <v>0</v>
      </c>
      <c r="C15" s="7">
        <f>IF(AND(1&gt;=11, 1&lt;11+UsefulLife), M2/UsefulLife, 0)</f>
        <v>0</v>
      </c>
      <c r="D15" s="7">
        <f>IF(AND(2&gt;=11, 2&lt;11+UsefulLife), M2/UsefulLife, 0)</f>
        <v>0</v>
      </c>
      <c r="E15" s="7">
        <f>IF(AND(3&gt;=11, 3&lt;11+UsefulLife), M2/UsefulLife, 0)</f>
        <v>0</v>
      </c>
      <c r="F15" s="7">
        <f>IF(AND(4&gt;=11, 4&lt;11+UsefulLife), M2/UsefulLife, 0)</f>
        <v>0</v>
      </c>
      <c r="G15" s="7">
        <f>IF(AND(5&gt;=11, 5&lt;11+UsefulLife), M2/UsefulLife, 0)</f>
        <v>0</v>
      </c>
      <c r="H15" s="7">
        <f>IF(AND(6&gt;=11, 6&lt;11+UsefulLife), M2/UsefulLife, 0)</f>
        <v>0</v>
      </c>
      <c r="I15" s="7">
        <f>IF(AND(7&gt;=11, 7&lt;11+UsefulLife), M2/UsefulLife, 0)</f>
        <v>0</v>
      </c>
      <c r="J15" s="7">
        <f>IF(AND(8&gt;=11, 8&lt;11+UsefulLife), M2/UsefulLife, 0)</f>
        <v>0</v>
      </c>
      <c r="K15" s="7">
        <f>IF(AND(9&gt;=11, 9&lt;11+UsefulLife), M2/UsefulLife, 0)</f>
        <v>0</v>
      </c>
      <c r="L15" s="7">
        <f>IF(AND(10&gt;=11, 10&lt;11+UsefulLife), M2/UsefulLife, 0)</f>
        <v>0</v>
      </c>
      <c r="M15" s="7">
        <f>IF(AND(11&gt;=11, 11&lt;11+UsefulLife), M2/UsefulLife, 0)</f>
        <v>0</v>
      </c>
      <c r="N15" s="7">
        <f>IF(AND(12&gt;=11, 12&lt;11+UsefulLife), M2/UsefulLife, 0)</f>
        <v>0</v>
      </c>
      <c r="O15" s="7">
        <f>IF(AND(13&gt;=11, 13&lt;11+UsefulLife), M2/UsefulLife, 0)</f>
        <v>0</v>
      </c>
      <c r="P15" s="7">
        <f>IF(AND(14&gt;=11, 14&lt;11+UsefulLife), M2/UsefulLife, 0)</f>
        <v>0</v>
      </c>
      <c r="Q15" s="7">
        <f>IF(AND(15&gt;=11, 15&lt;11+UsefulLife), M2/UsefulLife, 0)</f>
        <v>0</v>
      </c>
      <c r="R15" s="7">
        <f>IF(AND(16&gt;=11, 16&lt;11+UsefulLife), M2/UsefulLife, 0)</f>
        <v>0</v>
      </c>
      <c r="S15" s="7">
        <f>IF(AND(17&gt;=11, 17&lt;11+UsefulLife), M2/UsefulLife, 0)</f>
        <v>0</v>
      </c>
      <c r="T15" s="7">
        <f>IF(AND(18&gt;=11, 18&lt;11+UsefulLife), M2/UsefulLife, 0)</f>
        <v>0</v>
      </c>
      <c r="U15" s="7">
        <f>IF(AND(19&gt;=11, 19&lt;11+UsefulLife), M2/UsefulLife, 0)</f>
        <v>0</v>
      </c>
      <c r="V15" s="7">
        <f>IF(AND(20&gt;=11, 20&lt;11+UsefulLife), M2/UsefulLife, 0)</f>
        <v>0</v>
      </c>
      <c r="W15" s="7">
        <f>IF(AND(21&gt;=11, 21&lt;11+UsefulLife), M2/UsefulLife, 0)</f>
        <v>0</v>
      </c>
      <c r="X15" s="7">
        <f>IF(AND(22&gt;=11, 22&lt;11+UsefulLife), M2/UsefulLife, 0)</f>
        <v>0</v>
      </c>
      <c r="Y15" s="7">
        <f>IF(AND(23&gt;=11, 23&lt;11+UsefulLife), M2/UsefulLife, 0)</f>
        <v>0</v>
      </c>
      <c r="Z15" s="7">
        <f>IF(AND(24&gt;=11, 24&lt;11+UsefulLife), M2/UsefulLife, 0)</f>
        <v>0</v>
      </c>
      <c r="AA15" s="7">
        <f>IF(AND(25&gt;=11, 25&lt;11+UsefulLife), M2/UsefulLife, 0)</f>
        <v>0</v>
      </c>
      <c r="AB15" s="7">
        <f>IF(AND(26&gt;=11, 26&lt;11+UsefulLife), M2/UsefulLife, 0)</f>
        <v>0</v>
      </c>
      <c r="AC15" s="7">
        <f>IF(AND(27&gt;=11, 27&lt;11+UsefulLife), M2/UsefulLife, 0)</f>
        <v>0</v>
      </c>
      <c r="AD15" s="7">
        <f>IF(AND(28&gt;=11, 28&lt;11+UsefulLife), M2/UsefulLife, 0)</f>
        <v>0</v>
      </c>
      <c r="AE15" s="7">
        <f>IF(AND(29&gt;=11, 29&lt;11+UsefulLife), M2/UsefulLife, 0)</f>
        <v>0</v>
      </c>
      <c r="AF15" s="7">
        <f>IF(AND(30&gt;=11, 30&lt;11+UsefulLife), M2/UsefulLife, 0)</f>
        <v>0</v>
      </c>
      <c r="AG15" s="7">
        <f>IF(AND(31&gt;=11, 31&lt;11+UsefulLife), M2/UsefulLife, 0)</f>
        <v>0</v>
      </c>
      <c r="AH15" s="7">
        <f>IF(AND(32&gt;=11, 32&lt;11+UsefulLife), M2/UsefulLife, 0)</f>
        <v>0</v>
      </c>
      <c r="AI15" s="7">
        <f>IF(AND(33&gt;=11, 33&lt;11+UsefulLife), M2/UsefulLife, 0)</f>
        <v>0</v>
      </c>
      <c r="AJ15" s="7">
        <f>IF(AND(34&gt;=11, 34&lt;11+UsefulLife), M2/UsefulLife, 0)</f>
        <v>0</v>
      </c>
      <c r="AK15" s="7">
        <f>IF(AND(35&gt;=11, 35&lt;11+UsefulLife), M2/UsefulLife, 0)</f>
        <v>0</v>
      </c>
    </row>
    <row r="16" spans="1:37">
      <c r="A16" s="3" t="s">
        <v>102</v>
      </c>
      <c r="B16" s="7">
        <f>IF(AND(0&gt;=12, 0&lt;12+UsefulLife), N2/UsefulLife, 0)</f>
        <v>0</v>
      </c>
      <c r="C16" s="7">
        <f>IF(AND(1&gt;=12, 1&lt;12+UsefulLife), N2/UsefulLife, 0)</f>
        <v>0</v>
      </c>
      <c r="D16" s="7">
        <f>IF(AND(2&gt;=12, 2&lt;12+UsefulLife), N2/UsefulLife, 0)</f>
        <v>0</v>
      </c>
      <c r="E16" s="7">
        <f>IF(AND(3&gt;=12, 3&lt;12+UsefulLife), N2/UsefulLife, 0)</f>
        <v>0</v>
      </c>
      <c r="F16" s="7">
        <f>IF(AND(4&gt;=12, 4&lt;12+UsefulLife), N2/UsefulLife, 0)</f>
        <v>0</v>
      </c>
      <c r="G16" s="7">
        <f>IF(AND(5&gt;=12, 5&lt;12+UsefulLife), N2/UsefulLife, 0)</f>
        <v>0</v>
      </c>
      <c r="H16" s="7">
        <f>IF(AND(6&gt;=12, 6&lt;12+UsefulLife), N2/UsefulLife, 0)</f>
        <v>0</v>
      </c>
      <c r="I16" s="7">
        <f>IF(AND(7&gt;=12, 7&lt;12+UsefulLife), N2/UsefulLife, 0)</f>
        <v>0</v>
      </c>
      <c r="J16" s="7">
        <f>IF(AND(8&gt;=12, 8&lt;12+UsefulLife), N2/UsefulLife, 0)</f>
        <v>0</v>
      </c>
      <c r="K16" s="7">
        <f>IF(AND(9&gt;=12, 9&lt;12+UsefulLife), N2/UsefulLife, 0)</f>
        <v>0</v>
      </c>
      <c r="L16" s="7">
        <f>IF(AND(10&gt;=12, 10&lt;12+UsefulLife), N2/UsefulLife, 0)</f>
        <v>0</v>
      </c>
      <c r="M16" s="7">
        <f>IF(AND(11&gt;=12, 11&lt;12+UsefulLife), N2/UsefulLife, 0)</f>
        <v>0</v>
      </c>
      <c r="N16" s="7">
        <f>IF(AND(12&gt;=12, 12&lt;12+UsefulLife), N2/UsefulLife, 0)</f>
        <v>0</v>
      </c>
      <c r="O16" s="7">
        <f>IF(AND(13&gt;=12, 13&lt;12+UsefulLife), N2/UsefulLife, 0)</f>
        <v>0</v>
      </c>
      <c r="P16" s="7">
        <f>IF(AND(14&gt;=12, 14&lt;12+UsefulLife), N2/UsefulLife, 0)</f>
        <v>0</v>
      </c>
      <c r="Q16" s="7">
        <f>IF(AND(15&gt;=12, 15&lt;12+UsefulLife), N2/UsefulLife, 0)</f>
        <v>0</v>
      </c>
      <c r="R16" s="7">
        <f>IF(AND(16&gt;=12, 16&lt;12+UsefulLife), N2/UsefulLife, 0)</f>
        <v>0</v>
      </c>
      <c r="S16" s="7">
        <f>IF(AND(17&gt;=12, 17&lt;12+UsefulLife), N2/UsefulLife, 0)</f>
        <v>0</v>
      </c>
      <c r="T16" s="7">
        <f>IF(AND(18&gt;=12, 18&lt;12+UsefulLife), N2/UsefulLife, 0)</f>
        <v>0</v>
      </c>
      <c r="U16" s="7">
        <f>IF(AND(19&gt;=12, 19&lt;12+UsefulLife), N2/UsefulLife, 0)</f>
        <v>0</v>
      </c>
      <c r="V16" s="7">
        <f>IF(AND(20&gt;=12, 20&lt;12+UsefulLife), N2/UsefulLife, 0)</f>
        <v>0</v>
      </c>
      <c r="W16" s="7">
        <f>IF(AND(21&gt;=12, 21&lt;12+UsefulLife), N2/UsefulLife, 0)</f>
        <v>0</v>
      </c>
      <c r="X16" s="7">
        <f>IF(AND(22&gt;=12, 22&lt;12+UsefulLife), N2/UsefulLife, 0)</f>
        <v>0</v>
      </c>
      <c r="Y16" s="7">
        <f>IF(AND(23&gt;=12, 23&lt;12+UsefulLife), N2/UsefulLife, 0)</f>
        <v>0</v>
      </c>
      <c r="Z16" s="7">
        <f>IF(AND(24&gt;=12, 24&lt;12+UsefulLife), N2/UsefulLife, 0)</f>
        <v>0</v>
      </c>
      <c r="AA16" s="7">
        <f>IF(AND(25&gt;=12, 25&lt;12+UsefulLife), N2/UsefulLife, 0)</f>
        <v>0</v>
      </c>
      <c r="AB16" s="7">
        <f>IF(AND(26&gt;=12, 26&lt;12+UsefulLife), N2/UsefulLife, 0)</f>
        <v>0</v>
      </c>
      <c r="AC16" s="7">
        <f>IF(AND(27&gt;=12, 27&lt;12+UsefulLife), N2/UsefulLife, 0)</f>
        <v>0</v>
      </c>
      <c r="AD16" s="7">
        <f>IF(AND(28&gt;=12, 28&lt;12+UsefulLife), N2/UsefulLife, 0)</f>
        <v>0</v>
      </c>
      <c r="AE16" s="7">
        <f>IF(AND(29&gt;=12, 29&lt;12+UsefulLife), N2/UsefulLife, 0)</f>
        <v>0</v>
      </c>
      <c r="AF16" s="7">
        <f>IF(AND(30&gt;=12, 30&lt;12+UsefulLife), N2/UsefulLife, 0)</f>
        <v>0</v>
      </c>
      <c r="AG16" s="7">
        <f>IF(AND(31&gt;=12, 31&lt;12+UsefulLife), N2/UsefulLife, 0)</f>
        <v>0</v>
      </c>
      <c r="AH16" s="7">
        <f>IF(AND(32&gt;=12, 32&lt;12+UsefulLife), N2/UsefulLife, 0)</f>
        <v>0</v>
      </c>
      <c r="AI16" s="7">
        <f>IF(AND(33&gt;=12, 33&lt;12+UsefulLife), N2/UsefulLife, 0)</f>
        <v>0</v>
      </c>
      <c r="AJ16" s="7">
        <f>IF(AND(34&gt;=12, 34&lt;12+UsefulLife), N2/UsefulLife, 0)</f>
        <v>0</v>
      </c>
      <c r="AK16" s="7">
        <f>IF(AND(35&gt;=12, 35&lt;12+UsefulLife), N2/UsefulLife, 0)</f>
        <v>0</v>
      </c>
    </row>
    <row r="17" spans="1:37">
      <c r="A17" s="3" t="s">
        <v>103</v>
      </c>
      <c r="B17" s="7">
        <f>IF(AND(0&gt;=13, 0&lt;13+UsefulLife), O2/UsefulLife, 0)</f>
        <v>0</v>
      </c>
      <c r="C17" s="7">
        <f>IF(AND(1&gt;=13, 1&lt;13+UsefulLife), O2/UsefulLife, 0)</f>
        <v>0</v>
      </c>
      <c r="D17" s="7">
        <f>IF(AND(2&gt;=13, 2&lt;13+UsefulLife), O2/UsefulLife, 0)</f>
        <v>0</v>
      </c>
      <c r="E17" s="7">
        <f>IF(AND(3&gt;=13, 3&lt;13+UsefulLife), O2/UsefulLife, 0)</f>
        <v>0</v>
      </c>
      <c r="F17" s="7">
        <f>IF(AND(4&gt;=13, 4&lt;13+UsefulLife), O2/UsefulLife, 0)</f>
        <v>0</v>
      </c>
      <c r="G17" s="7">
        <f>IF(AND(5&gt;=13, 5&lt;13+UsefulLife), O2/UsefulLife, 0)</f>
        <v>0</v>
      </c>
      <c r="H17" s="7">
        <f>IF(AND(6&gt;=13, 6&lt;13+UsefulLife), O2/UsefulLife, 0)</f>
        <v>0</v>
      </c>
      <c r="I17" s="7">
        <f>IF(AND(7&gt;=13, 7&lt;13+UsefulLife), O2/UsefulLife, 0)</f>
        <v>0</v>
      </c>
      <c r="J17" s="7">
        <f>IF(AND(8&gt;=13, 8&lt;13+UsefulLife), O2/UsefulLife, 0)</f>
        <v>0</v>
      </c>
      <c r="K17" s="7">
        <f>IF(AND(9&gt;=13, 9&lt;13+UsefulLife), O2/UsefulLife, 0)</f>
        <v>0</v>
      </c>
      <c r="L17" s="7">
        <f>IF(AND(10&gt;=13, 10&lt;13+UsefulLife), O2/UsefulLife, 0)</f>
        <v>0</v>
      </c>
      <c r="M17" s="7">
        <f>IF(AND(11&gt;=13, 11&lt;13+UsefulLife), O2/UsefulLife, 0)</f>
        <v>0</v>
      </c>
      <c r="N17" s="7">
        <f>IF(AND(12&gt;=13, 12&lt;13+UsefulLife), O2/UsefulLife, 0)</f>
        <v>0</v>
      </c>
      <c r="O17" s="7">
        <f>IF(AND(13&gt;=13, 13&lt;13+UsefulLife), O2/UsefulLife, 0)</f>
        <v>0</v>
      </c>
      <c r="P17" s="7">
        <f>IF(AND(14&gt;=13, 14&lt;13+UsefulLife), O2/UsefulLife, 0)</f>
        <v>0</v>
      </c>
      <c r="Q17" s="7">
        <f>IF(AND(15&gt;=13, 15&lt;13+UsefulLife), O2/UsefulLife, 0)</f>
        <v>0</v>
      </c>
      <c r="R17" s="7">
        <f>IF(AND(16&gt;=13, 16&lt;13+UsefulLife), O2/UsefulLife, 0)</f>
        <v>0</v>
      </c>
      <c r="S17" s="7">
        <f>IF(AND(17&gt;=13, 17&lt;13+UsefulLife), O2/UsefulLife, 0)</f>
        <v>0</v>
      </c>
      <c r="T17" s="7">
        <f>IF(AND(18&gt;=13, 18&lt;13+UsefulLife), O2/UsefulLife, 0)</f>
        <v>0</v>
      </c>
      <c r="U17" s="7">
        <f>IF(AND(19&gt;=13, 19&lt;13+UsefulLife), O2/UsefulLife, 0)</f>
        <v>0</v>
      </c>
      <c r="V17" s="7">
        <f>IF(AND(20&gt;=13, 20&lt;13+UsefulLife), O2/UsefulLife, 0)</f>
        <v>0</v>
      </c>
      <c r="W17" s="7">
        <f>IF(AND(21&gt;=13, 21&lt;13+UsefulLife), O2/UsefulLife, 0)</f>
        <v>0</v>
      </c>
      <c r="X17" s="7">
        <f>IF(AND(22&gt;=13, 22&lt;13+UsefulLife), O2/UsefulLife, 0)</f>
        <v>0</v>
      </c>
      <c r="Y17" s="7">
        <f>IF(AND(23&gt;=13, 23&lt;13+UsefulLife), O2/UsefulLife, 0)</f>
        <v>0</v>
      </c>
      <c r="Z17" s="7">
        <f>IF(AND(24&gt;=13, 24&lt;13+UsefulLife), O2/UsefulLife, 0)</f>
        <v>0</v>
      </c>
      <c r="AA17" s="7">
        <f>IF(AND(25&gt;=13, 25&lt;13+UsefulLife), O2/UsefulLife, 0)</f>
        <v>0</v>
      </c>
      <c r="AB17" s="7">
        <f>IF(AND(26&gt;=13, 26&lt;13+UsefulLife), O2/UsefulLife, 0)</f>
        <v>0</v>
      </c>
      <c r="AC17" s="7">
        <f>IF(AND(27&gt;=13, 27&lt;13+UsefulLife), O2/UsefulLife, 0)</f>
        <v>0</v>
      </c>
      <c r="AD17" s="7">
        <f>IF(AND(28&gt;=13, 28&lt;13+UsefulLife), O2/UsefulLife, 0)</f>
        <v>0</v>
      </c>
      <c r="AE17" s="7">
        <f>IF(AND(29&gt;=13, 29&lt;13+UsefulLife), O2/UsefulLife, 0)</f>
        <v>0</v>
      </c>
      <c r="AF17" s="7">
        <f>IF(AND(30&gt;=13, 30&lt;13+UsefulLife), O2/UsefulLife, 0)</f>
        <v>0</v>
      </c>
      <c r="AG17" s="7">
        <f>IF(AND(31&gt;=13, 31&lt;13+UsefulLife), O2/UsefulLife, 0)</f>
        <v>0</v>
      </c>
      <c r="AH17" s="7">
        <f>IF(AND(32&gt;=13, 32&lt;13+UsefulLife), O2/UsefulLife, 0)</f>
        <v>0</v>
      </c>
      <c r="AI17" s="7">
        <f>IF(AND(33&gt;=13, 33&lt;13+UsefulLife), O2/UsefulLife, 0)</f>
        <v>0</v>
      </c>
      <c r="AJ17" s="7">
        <f>IF(AND(34&gt;=13, 34&lt;13+UsefulLife), O2/UsefulLife, 0)</f>
        <v>0</v>
      </c>
      <c r="AK17" s="7">
        <f>IF(AND(35&gt;=13, 35&lt;13+UsefulLife), O2/UsefulLife, 0)</f>
        <v>0</v>
      </c>
    </row>
    <row r="18" spans="1:37">
      <c r="A18" s="3" t="s">
        <v>104</v>
      </c>
      <c r="B18" s="7">
        <f>IF(AND(0&gt;=14, 0&lt;14+UsefulLife), P2/UsefulLife, 0)</f>
        <v>0</v>
      </c>
      <c r="C18" s="7">
        <f>IF(AND(1&gt;=14, 1&lt;14+UsefulLife), P2/UsefulLife, 0)</f>
        <v>0</v>
      </c>
      <c r="D18" s="7">
        <f>IF(AND(2&gt;=14, 2&lt;14+UsefulLife), P2/UsefulLife, 0)</f>
        <v>0</v>
      </c>
      <c r="E18" s="7">
        <f>IF(AND(3&gt;=14, 3&lt;14+UsefulLife), P2/UsefulLife, 0)</f>
        <v>0</v>
      </c>
      <c r="F18" s="7">
        <f>IF(AND(4&gt;=14, 4&lt;14+UsefulLife), P2/UsefulLife, 0)</f>
        <v>0</v>
      </c>
      <c r="G18" s="7">
        <f>IF(AND(5&gt;=14, 5&lt;14+UsefulLife), P2/UsefulLife, 0)</f>
        <v>0</v>
      </c>
      <c r="H18" s="7">
        <f>IF(AND(6&gt;=14, 6&lt;14+UsefulLife), P2/UsefulLife, 0)</f>
        <v>0</v>
      </c>
      <c r="I18" s="7">
        <f>IF(AND(7&gt;=14, 7&lt;14+UsefulLife), P2/UsefulLife, 0)</f>
        <v>0</v>
      </c>
      <c r="J18" s="7">
        <f>IF(AND(8&gt;=14, 8&lt;14+UsefulLife), P2/UsefulLife, 0)</f>
        <v>0</v>
      </c>
      <c r="K18" s="7">
        <f>IF(AND(9&gt;=14, 9&lt;14+UsefulLife), P2/UsefulLife, 0)</f>
        <v>0</v>
      </c>
      <c r="L18" s="7">
        <f>IF(AND(10&gt;=14, 10&lt;14+UsefulLife), P2/UsefulLife, 0)</f>
        <v>0</v>
      </c>
      <c r="M18" s="7">
        <f>IF(AND(11&gt;=14, 11&lt;14+UsefulLife), P2/UsefulLife, 0)</f>
        <v>0</v>
      </c>
      <c r="N18" s="7">
        <f>IF(AND(12&gt;=14, 12&lt;14+UsefulLife), P2/UsefulLife, 0)</f>
        <v>0</v>
      </c>
      <c r="O18" s="7">
        <f>IF(AND(13&gt;=14, 13&lt;14+UsefulLife), P2/UsefulLife, 0)</f>
        <v>0</v>
      </c>
      <c r="P18" s="7">
        <f>IF(AND(14&gt;=14, 14&lt;14+UsefulLife), P2/UsefulLife, 0)</f>
        <v>0</v>
      </c>
      <c r="Q18" s="7">
        <f>IF(AND(15&gt;=14, 15&lt;14+UsefulLife), P2/UsefulLife, 0)</f>
        <v>0</v>
      </c>
      <c r="R18" s="7">
        <f>IF(AND(16&gt;=14, 16&lt;14+UsefulLife), P2/UsefulLife, 0)</f>
        <v>0</v>
      </c>
      <c r="S18" s="7">
        <f>IF(AND(17&gt;=14, 17&lt;14+UsefulLife), P2/UsefulLife, 0)</f>
        <v>0</v>
      </c>
      <c r="T18" s="7">
        <f>IF(AND(18&gt;=14, 18&lt;14+UsefulLife), P2/UsefulLife, 0)</f>
        <v>0</v>
      </c>
      <c r="U18" s="7">
        <f>IF(AND(19&gt;=14, 19&lt;14+UsefulLife), P2/UsefulLife, 0)</f>
        <v>0</v>
      </c>
      <c r="V18" s="7">
        <f>IF(AND(20&gt;=14, 20&lt;14+UsefulLife), P2/UsefulLife, 0)</f>
        <v>0</v>
      </c>
      <c r="W18" s="7">
        <f>IF(AND(21&gt;=14, 21&lt;14+UsefulLife), P2/UsefulLife, 0)</f>
        <v>0</v>
      </c>
      <c r="X18" s="7">
        <f>IF(AND(22&gt;=14, 22&lt;14+UsefulLife), P2/UsefulLife, 0)</f>
        <v>0</v>
      </c>
      <c r="Y18" s="7">
        <f>IF(AND(23&gt;=14, 23&lt;14+UsefulLife), P2/UsefulLife, 0)</f>
        <v>0</v>
      </c>
      <c r="Z18" s="7">
        <f>IF(AND(24&gt;=14, 24&lt;14+UsefulLife), P2/UsefulLife, 0)</f>
        <v>0</v>
      </c>
      <c r="AA18" s="7">
        <f>IF(AND(25&gt;=14, 25&lt;14+UsefulLife), P2/UsefulLife, 0)</f>
        <v>0</v>
      </c>
      <c r="AB18" s="7">
        <f>IF(AND(26&gt;=14, 26&lt;14+UsefulLife), P2/UsefulLife, 0)</f>
        <v>0</v>
      </c>
      <c r="AC18" s="7">
        <f>IF(AND(27&gt;=14, 27&lt;14+UsefulLife), P2/UsefulLife, 0)</f>
        <v>0</v>
      </c>
      <c r="AD18" s="7">
        <f>IF(AND(28&gt;=14, 28&lt;14+UsefulLife), P2/UsefulLife, 0)</f>
        <v>0</v>
      </c>
      <c r="AE18" s="7">
        <f>IF(AND(29&gt;=14, 29&lt;14+UsefulLife), P2/UsefulLife, 0)</f>
        <v>0</v>
      </c>
      <c r="AF18" s="7">
        <f>IF(AND(30&gt;=14, 30&lt;14+UsefulLife), P2/UsefulLife, 0)</f>
        <v>0</v>
      </c>
      <c r="AG18" s="7">
        <f>IF(AND(31&gt;=14, 31&lt;14+UsefulLife), P2/UsefulLife, 0)</f>
        <v>0</v>
      </c>
      <c r="AH18" s="7">
        <f>IF(AND(32&gt;=14, 32&lt;14+UsefulLife), P2/UsefulLife, 0)</f>
        <v>0</v>
      </c>
      <c r="AI18" s="7">
        <f>IF(AND(33&gt;=14, 33&lt;14+UsefulLife), P2/UsefulLife, 0)</f>
        <v>0</v>
      </c>
      <c r="AJ18" s="7">
        <f>IF(AND(34&gt;=14, 34&lt;14+UsefulLife), P2/UsefulLife, 0)</f>
        <v>0</v>
      </c>
      <c r="AK18" s="7">
        <f>IF(AND(35&gt;=14, 35&lt;14+UsefulLife), P2/UsefulLife, 0)</f>
        <v>0</v>
      </c>
    </row>
    <row r="19" spans="1:37">
      <c r="A19" s="3" t="s">
        <v>105</v>
      </c>
      <c r="B19" s="7">
        <f>IF(AND(0&gt;=15, 0&lt;15+UsefulLife), Q2/UsefulLife, 0)</f>
        <v>0</v>
      </c>
      <c r="C19" s="7">
        <f>IF(AND(1&gt;=15, 1&lt;15+UsefulLife), Q2/UsefulLife, 0)</f>
        <v>0</v>
      </c>
      <c r="D19" s="7">
        <f>IF(AND(2&gt;=15, 2&lt;15+UsefulLife), Q2/UsefulLife, 0)</f>
        <v>0</v>
      </c>
      <c r="E19" s="7">
        <f>IF(AND(3&gt;=15, 3&lt;15+UsefulLife), Q2/UsefulLife, 0)</f>
        <v>0</v>
      </c>
      <c r="F19" s="7">
        <f>IF(AND(4&gt;=15, 4&lt;15+UsefulLife), Q2/UsefulLife, 0)</f>
        <v>0</v>
      </c>
      <c r="G19" s="7">
        <f>IF(AND(5&gt;=15, 5&lt;15+UsefulLife), Q2/UsefulLife, 0)</f>
        <v>0</v>
      </c>
      <c r="H19" s="7">
        <f>IF(AND(6&gt;=15, 6&lt;15+UsefulLife), Q2/UsefulLife, 0)</f>
        <v>0</v>
      </c>
      <c r="I19" s="7">
        <f>IF(AND(7&gt;=15, 7&lt;15+UsefulLife), Q2/UsefulLife, 0)</f>
        <v>0</v>
      </c>
      <c r="J19" s="7">
        <f>IF(AND(8&gt;=15, 8&lt;15+UsefulLife), Q2/UsefulLife, 0)</f>
        <v>0</v>
      </c>
      <c r="K19" s="7">
        <f>IF(AND(9&gt;=15, 9&lt;15+UsefulLife), Q2/UsefulLife, 0)</f>
        <v>0</v>
      </c>
      <c r="L19" s="7">
        <f>IF(AND(10&gt;=15, 10&lt;15+UsefulLife), Q2/UsefulLife, 0)</f>
        <v>0</v>
      </c>
      <c r="M19" s="7">
        <f>IF(AND(11&gt;=15, 11&lt;15+UsefulLife), Q2/UsefulLife, 0)</f>
        <v>0</v>
      </c>
      <c r="N19" s="7">
        <f>IF(AND(12&gt;=15, 12&lt;15+UsefulLife), Q2/UsefulLife, 0)</f>
        <v>0</v>
      </c>
      <c r="O19" s="7">
        <f>IF(AND(13&gt;=15, 13&lt;15+UsefulLife), Q2/UsefulLife, 0)</f>
        <v>0</v>
      </c>
      <c r="P19" s="7">
        <f>IF(AND(14&gt;=15, 14&lt;15+UsefulLife), Q2/UsefulLife, 0)</f>
        <v>0</v>
      </c>
      <c r="Q19" s="7">
        <f>IF(AND(15&gt;=15, 15&lt;15+UsefulLife), Q2/UsefulLife, 0)</f>
        <v>0</v>
      </c>
      <c r="R19" s="7">
        <f>IF(AND(16&gt;=15, 16&lt;15+UsefulLife), Q2/UsefulLife, 0)</f>
        <v>0</v>
      </c>
      <c r="S19" s="7">
        <f>IF(AND(17&gt;=15, 17&lt;15+UsefulLife), Q2/UsefulLife, 0)</f>
        <v>0</v>
      </c>
      <c r="T19" s="7">
        <f>IF(AND(18&gt;=15, 18&lt;15+UsefulLife), Q2/UsefulLife, 0)</f>
        <v>0</v>
      </c>
      <c r="U19" s="7">
        <f>IF(AND(19&gt;=15, 19&lt;15+UsefulLife), Q2/UsefulLife, 0)</f>
        <v>0</v>
      </c>
      <c r="V19" s="7">
        <f>IF(AND(20&gt;=15, 20&lt;15+UsefulLife), Q2/UsefulLife, 0)</f>
        <v>0</v>
      </c>
      <c r="W19" s="7">
        <f>IF(AND(21&gt;=15, 21&lt;15+UsefulLife), Q2/UsefulLife, 0)</f>
        <v>0</v>
      </c>
      <c r="X19" s="7">
        <f>IF(AND(22&gt;=15, 22&lt;15+UsefulLife), Q2/UsefulLife, 0)</f>
        <v>0</v>
      </c>
      <c r="Y19" s="7">
        <f>IF(AND(23&gt;=15, 23&lt;15+UsefulLife), Q2/UsefulLife, 0)</f>
        <v>0</v>
      </c>
      <c r="Z19" s="7">
        <f>IF(AND(24&gt;=15, 24&lt;15+UsefulLife), Q2/UsefulLife, 0)</f>
        <v>0</v>
      </c>
      <c r="AA19" s="7">
        <f>IF(AND(25&gt;=15, 25&lt;15+UsefulLife), Q2/UsefulLife, 0)</f>
        <v>0</v>
      </c>
      <c r="AB19" s="7">
        <f>IF(AND(26&gt;=15, 26&lt;15+UsefulLife), Q2/UsefulLife, 0)</f>
        <v>0</v>
      </c>
      <c r="AC19" s="7">
        <f>IF(AND(27&gt;=15, 27&lt;15+UsefulLife), Q2/UsefulLife, 0)</f>
        <v>0</v>
      </c>
      <c r="AD19" s="7">
        <f>IF(AND(28&gt;=15, 28&lt;15+UsefulLife), Q2/UsefulLife, 0)</f>
        <v>0</v>
      </c>
      <c r="AE19" s="7">
        <f>IF(AND(29&gt;=15, 29&lt;15+UsefulLife), Q2/UsefulLife, 0)</f>
        <v>0</v>
      </c>
      <c r="AF19" s="7">
        <f>IF(AND(30&gt;=15, 30&lt;15+UsefulLife), Q2/UsefulLife, 0)</f>
        <v>0</v>
      </c>
      <c r="AG19" s="7">
        <f>IF(AND(31&gt;=15, 31&lt;15+UsefulLife), Q2/UsefulLife, 0)</f>
        <v>0</v>
      </c>
      <c r="AH19" s="7">
        <f>IF(AND(32&gt;=15, 32&lt;15+UsefulLife), Q2/UsefulLife, 0)</f>
        <v>0</v>
      </c>
      <c r="AI19" s="7">
        <f>IF(AND(33&gt;=15, 33&lt;15+UsefulLife), Q2/UsefulLife, 0)</f>
        <v>0</v>
      </c>
      <c r="AJ19" s="7">
        <f>IF(AND(34&gt;=15, 34&lt;15+UsefulLife), Q2/UsefulLife, 0)</f>
        <v>0</v>
      </c>
      <c r="AK19" s="7">
        <f>IF(AND(35&gt;=15, 35&lt;15+UsefulLife), Q2/UsefulLife, 0)</f>
        <v>0</v>
      </c>
    </row>
    <row r="20" spans="1:37">
      <c r="A20" s="3" t="s">
        <v>106</v>
      </c>
      <c r="B20" s="7">
        <f>IF(AND(0&gt;=16, 0&lt;16+UsefulLife), R2/UsefulLife, 0)</f>
        <v>0</v>
      </c>
      <c r="C20" s="7">
        <f>IF(AND(1&gt;=16, 1&lt;16+UsefulLife), R2/UsefulLife, 0)</f>
        <v>0</v>
      </c>
      <c r="D20" s="7">
        <f>IF(AND(2&gt;=16, 2&lt;16+UsefulLife), R2/UsefulLife, 0)</f>
        <v>0</v>
      </c>
      <c r="E20" s="7">
        <f>IF(AND(3&gt;=16, 3&lt;16+UsefulLife), R2/UsefulLife, 0)</f>
        <v>0</v>
      </c>
      <c r="F20" s="7">
        <f>IF(AND(4&gt;=16, 4&lt;16+UsefulLife), R2/UsefulLife, 0)</f>
        <v>0</v>
      </c>
      <c r="G20" s="7">
        <f>IF(AND(5&gt;=16, 5&lt;16+UsefulLife), R2/UsefulLife, 0)</f>
        <v>0</v>
      </c>
      <c r="H20" s="7">
        <f>IF(AND(6&gt;=16, 6&lt;16+UsefulLife), R2/UsefulLife, 0)</f>
        <v>0</v>
      </c>
      <c r="I20" s="7">
        <f>IF(AND(7&gt;=16, 7&lt;16+UsefulLife), R2/UsefulLife, 0)</f>
        <v>0</v>
      </c>
      <c r="J20" s="7">
        <f>IF(AND(8&gt;=16, 8&lt;16+UsefulLife), R2/UsefulLife, 0)</f>
        <v>0</v>
      </c>
      <c r="K20" s="7">
        <f>IF(AND(9&gt;=16, 9&lt;16+UsefulLife), R2/UsefulLife, 0)</f>
        <v>0</v>
      </c>
      <c r="L20" s="7">
        <f>IF(AND(10&gt;=16, 10&lt;16+UsefulLife), R2/UsefulLife, 0)</f>
        <v>0</v>
      </c>
      <c r="M20" s="7">
        <f>IF(AND(11&gt;=16, 11&lt;16+UsefulLife), R2/UsefulLife, 0)</f>
        <v>0</v>
      </c>
      <c r="N20" s="7">
        <f>IF(AND(12&gt;=16, 12&lt;16+UsefulLife), R2/UsefulLife, 0)</f>
        <v>0</v>
      </c>
      <c r="O20" s="7">
        <f>IF(AND(13&gt;=16, 13&lt;16+UsefulLife), R2/UsefulLife, 0)</f>
        <v>0</v>
      </c>
      <c r="P20" s="7">
        <f>IF(AND(14&gt;=16, 14&lt;16+UsefulLife), R2/UsefulLife, 0)</f>
        <v>0</v>
      </c>
      <c r="Q20" s="7">
        <f>IF(AND(15&gt;=16, 15&lt;16+UsefulLife), R2/UsefulLife, 0)</f>
        <v>0</v>
      </c>
      <c r="R20" s="7">
        <f>IF(AND(16&gt;=16, 16&lt;16+UsefulLife), R2/UsefulLife, 0)</f>
        <v>0</v>
      </c>
      <c r="S20" s="7">
        <f>IF(AND(17&gt;=16, 17&lt;16+UsefulLife), R2/UsefulLife, 0)</f>
        <v>0</v>
      </c>
      <c r="T20" s="7">
        <f>IF(AND(18&gt;=16, 18&lt;16+UsefulLife), R2/UsefulLife, 0)</f>
        <v>0</v>
      </c>
      <c r="U20" s="7">
        <f>IF(AND(19&gt;=16, 19&lt;16+UsefulLife), R2/UsefulLife, 0)</f>
        <v>0</v>
      </c>
      <c r="V20" s="7">
        <f>IF(AND(20&gt;=16, 20&lt;16+UsefulLife), R2/UsefulLife, 0)</f>
        <v>0</v>
      </c>
      <c r="W20" s="7">
        <f>IF(AND(21&gt;=16, 21&lt;16+UsefulLife), R2/UsefulLife, 0)</f>
        <v>0</v>
      </c>
      <c r="X20" s="7">
        <f>IF(AND(22&gt;=16, 22&lt;16+UsefulLife), R2/UsefulLife, 0)</f>
        <v>0</v>
      </c>
      <c r="Y20" s="7">
        <f>IF(AND(23&gt;=16, 23&lt;16+UsefulLife), R2/UsefulLife, 0)</f>
        <v>0</v>
      </c>
      <c r="Z20" s="7">
        <f>IF(AND(24&gt;=16, 24&lt;16+UsefulLife), R2/UsefulLife, 0)</f>
        <v>0</v>
      </c>
      <c r="AA20" s="7">
        <f>IF(AND(25&gt;=16, 25&lt;16+UsefulLife), R2/UsefulLife, 0)</f>
        <v>0</v>
      </c>
      <c r="AB20" s="7">
        <f>IF(AND(26&gt;=16, 26&lt;16+UsefulLife), R2/UsefulLife, 0)</f>
        <v>0</v>
      </c>
      <c r="AC20" s="7">
        <f>IF(AND(27&gt;=16, 27&lt;16+UsefulLife), R2/UsefulLife, 0)</f>
        <v>0</v>
      </c>
      <c r="AD20" s="7">
        <f>IF(AND(28&gt;=16, 28&lt;16+UsefulLife), R2/UsefulLife, 0)</f>
        <v>0</v>
      </c>
      <c r="AE20" s="7">
        <f>IF(AND(29&gt;=16, 29&lt;16+UsefulLife), R2/UsefulLife, 0)</f>
        <v>0</v>
      </c>
      <c r="AF20" s="7">
        <f>IF(AND(30&gt;=16, 30&lt;16+UsefulLife), R2/UsefulLife, 0)</f>
        <v>0</v>
      </c>
      <c r="AG20" s="7">
        <f>IF(AND(31&gt;=16, 31&lt;16+UsefulLife), R2/UsefulLife, 0)</f>
        <v>0</v>
      </c>
      <c r="AH20" s="7">
        <f>IF(AND(32&gt;=16, 32&lt;16+UsefulLife), R2/UsefulLife, 0)</f>
        <v>0</v>
      </c>
      <c r="AI20" s="7">
        <f>IF(AND(33&gt;=16, 33&lt;16+UsefulLife), R2/UsefulLife, 0)</f>
        <v>0</v>
      </c>
      <c r="AJ20" s="7">
        <f>IF(AND(34&gt;=16, 34&lt;16+UsefulLife), R2/UsefulLife, 0)</f>
        <v>0</v>
      </c>
      <c r="AK20" s="7">
        <f>IF(AND(35&gt;=16, 35&lt;16+UsefulLife), R2/UsefulLife, 0)</f>
        <v>0</v>
      </c>
    </row>
    <row r="21" spans="1:37">
      <c r="A21" s="3" t="s">
        <v>107</v>
      </c>
      <c r="B21" s="7">
        <f>IF(AND(0&gt;=17, 0&lt;17+UsefulLife), S2/UsefulLife, 0)</f>
        <v>0</v>
      </c>
      <c r="C21" s="7">
        <f>IF(AND(1&gt;=17, 1&lt;17+UsefulLife), S2/UsefulLife, 0)</f>
        <v>0</v>
      </c>
      <c r="D21" s="7">
        <f>IF(AND(2&gt;=17, 2&lt;17+UsefulLife), S2/UsefulLife, 0)</f>
        <v>0</v>
      </c>
      <c r="E21" s="7">
        <f>IF(AND(3&gt;=17, 3&lt;17+UsefulLife), S2/UsefulLife, 0)</f>
        <v>0</v>
      </c>
      <c r="F21" s="7">
        <f>IF(AND(4&gt;=17, 4&lt;17+UsefulLife), S2/UsefulLife, 0)</f>
        <v>0</v>
      </c>
      <c r="G21" s="7">
        <f>IF(AND(5&gt;=17, 5&lt;17+UsefulLife), S2/UsefulLife, 0)</f>
        <v>0</v>
      </c>
      <c r="H21" s="7">
        <f>IF(AND(6&gt;=17, 6&lt;17+UsefulLife), S2/UsefulLife, 0)</f>
        <v>0</v>
      </c>
      <c r="I21" s="7">
        <f>IF(AND(7&gt;=17, 7&lt;17+UsefulLife), S2/UsefulLife, 0)</f>
        <v>0</v>
      </c>
      <c r="J21" s="7">
        <f>IF(AND(8&gt;=17, 8&lt;17+UsefulLife), S2/UsefulLife, 0)</f>
        <v>0</v>
      </c>
      <c r="K21" s="7">
        <f>IF(AND(9&gt;=17, 9&lt;17+UsefulLife), S2/UsefulLife, 0)</f>
        <v>0</v>
      </c>
      <c r="L21" s="7">
        <f>IF(AND(10&gt;=17, 10&lt;17+UsefulLife), S2/UsefulLife, 0)</f>
        <v>0</v>
      </c>
      <c r="M21" s="7">
        <f>IF(AND(11&gt;=17, 11&lt;17+UsefulLife), S2/UsefulLife, 0)</f>
        <v>0</v>
      </c>
      <c r="N21" s="7">
        <f>IF(AND(12&gt;=17, 12&lt;17+UsefulLife), S2/UsefulLife, 0)</f>
        <v>0</v>
      </c>
      <c r="O21" s="7">
        <f>IF(AND(13&gt;=17, 13&lt;17+UsefulLife), S2/UsefulLife, 0)</f>
        <v>0</v>
      </c>
      <c r="P21" s="7">
        <f>IF(AND(14&gt;=17, 14&lt;17+UsefulLife), S2/UsefulLife, 0)</f>
        <v>0</v>
      </c>
      <c r="Q21" s="7">
        <f>IF(AND(15&gt;=17, 15&lt;17+UsefulLife), S2/UsefulLife, 0)</f>
        <v>0</v>
      </c>
      <c r="R21" s="7">
        <f>IF(AND(16&gt;=17, 16&lt;17+UsefulLife), S2/UsefulLife, 0)</f>
        <v>0</v>
      </c>
      <c r="S21" s="7">
        <f>IF(AND(17&gt;=17, 17&lt;17+UsefulLife), S2/UsefulLife, 0)</f>
        <v>0</v>
      </c>
      <c r="T21" s="7">
        <f>IF(AND(18&gt;=17, 18&lt;17+UsefulLife), S2/UsefulLife, 0)</f>
        <v>0</v>
      </c>
      <c r="U21" s="7">
        <f>IF(AND(19&gt;=17, 19&lt;17+UsefulLife), S2/UsefulLife, 0)</f>
        <v>0</v>
      </c>
      <c r="V21" s="7">
        <f>IF(AND(20&gt;=17, 20&lt;17+UsefulLife), S2/UsefulLife, 0)</f>
        <v>0</v>
      </c>
      <c r="W21" s="7">
        <f>IF(AND(21&gt;=17, 21&lt;17+UsefulLife), S2/UsefulLife, 0)</f>
        <v>0</v>
      </c>
      <c r="X21" s="7">
        <f>IF(AND(22&gt;=17, 22&lt;17+UsefulLife), S2/UsefulLife, 0)</f>
        <v>0</v>
      </c>
      <c r="Y21" s="7">
        <f>IF(AND(23&gt;=17, 23&lt;17+UsefulLife), S2/UsefulLife, 0)</f>
        <v>0</v>
      </c>
      <c r="Z21" s="7">
        <f>IF(AND(24&gt;=17, 24&lt;17+UsefulLife), S2/UsefulLife, 0)</f>
        <v>0</v>
      </c>
      <c r="AA21" s="7">
        <f>IF(AND(25&gt;=17, 25&lt;17+UsefulLife), S2/UsefulLife, 0)</f>
        <v>0</v>
      </c>
      <c r="AB21" s="7">
        <f>IF(AND(26&gt;=17, 26&lt;17+UsefulLife), S2/UsefulLife, 0)</f>
        <v>0</v>
      </c>
      <c r="AC21" s="7">
        <f>IF(AND(27&gt;=17, 27&lt;17+UsefulLife), S2/UsefulLife, 0)</f>
        <v>0</v>
      </c>
      <c r="AD21" s="7">
        <f>IF(AND(28&gt;=17, 28&lt;17+UsefulLife), S2/UsefulLife, 0)</f>
        <v>0</v>
      </c>
      <c r="AE21" s="7">
        <f>IF(AND(29&gt;=17, 29&lt;17+UsefulLife), S2/UsefulLife, 0)</f>
        <v>0</v>
      </c>
      <c r="AF21" s="7">
        <f>IF(AND(30&gt;=17, 30&lt;17+UsefulLife), S2/UsefulLife, 0)</f>
        <v>0</v>
      </c>
      <c r="AG21" s="7">
        <f>IF(AND(31&gt;=17, 31&lt;17+UsefulLife), S2/UsefulLife, 0)</f>
        <v>0</v>
      </c>
      <c r="AH21" s="7">
        <f>IF(AND(32&gt;=17, 32&lt;17+UsefulLife), S2/UsefulLife, 0)</f>
        <v>0</v>
      </c>
      <c r="AI21" s="7">
        <f>IF(AND(33&gt;=17, 33&lt;17+UsefulLife), S2/UsefulLife, 0)</f>
        <v>0</v>
      </c>
      <c r="AJ21" s="7">
        <f>IF(AND(34&gt;=17, 34&lt;17+UsefulLife), S2/UsefulLife, 0)</f>
        <v>0</v>
      </c>
      <c r="AK21" s="7">
        <f>IF(AND(35&gt;=17, 35&lt;17+UsefulLife), S2/UsefulLife, 0)</f>
        <v>0</v>
      </c>
    </row>
    <row r="22" spans="1:37">
      <c r="A22" s="3" t="s">
        <v>108</v>
      </c>
      <c r="B22" s="7">
        <f>IF(AND(0&gt;=18, 0&lt;18+UsefulLife), T2/UsefulLife, 0)</f>
        <v>0</v>
      </c>
      <c r="C22" s="7">
        <f>IF(AND(1&gt;=18, 1&lt;18+UsefulLife), T2/UsefulLife, 0)</f>
        <v>0</v>
      </c>
      <c r="D22" s="7">
        <f>IF(AND(2&gt;=18, 2&lt;18+UsefulLife), T2/UsefulLife, 0)</f>
        <v>0</v>
      </c>
      <c r="E22" s="7">
        <f>IF(AND(3&gt;=18, 3&lt;18+UsefulLife), T2/UsefulLife, 0)</f>
        <v>0</v>
      </c>
      <c r="F22" s="7">
        <f>IF(AND(4&gt;=18, 4&lt;18+UsefulLife), T2/UsefulLife, 0)</f>
        <v>0</v>
      </c>
      <c r="G22" s="7">
        <f>IF(AND(5&gt;=18, 5&lt;18+UsefulLife), T2/UsefulLife, 0)</f>
        <v>0</v>
      </c>
      <c r="H22" s="7">
        <f>IF(AND(6&gt;=18, 6&lt;18+UsefulLife), T2/UsefulLife, 0)</f>
        <v>0</v>
      </c>
      <c r="I22" s="7">
        <f>IF(AND(7&gt;=18, 7&lt;18+UsefulLife), T2/UsefulLife, 0)</f>
        <v>0</v>
      </c>
      <c r="J22" s="7">
        <f>IF(AND(8&gt;=18, 8&lt;18+UsefulLife), T2/UsefulLife, 0)</f>
        <v>0</v>
      </c>
      <c r="K22" s="7">
        <f>IF(AND(9&gt;=18, 9&lt;18+UsefulLife), T2/UsefulLife, 0)</f>
        <v>0</v>
      </c>
      <c r="L22" s="7">
        <f>IF(AND(10&gt;=18, 10&lt;18+UsefulLife), T2/UsefulLife, 0)</f>
        <v>0</v>
      </c>
      <c r="M22" s="7">
        <f>IF(AND(11&gt;=18, 11&lt;18+UsefulLife), T2/UsefulLife, 0)</f>
        <v>0</v>
      </c>
      <c r="N22" s="7">
        <f>IF(AND(12&gt;=18, 12&lt;18+UsefulLife), T2/UsefulLife, 0)</f>
        <v>0</v>
      </c>
      <c r="O22" s="7">
        <f>IF(AND(13&gt;=18, 13&lt;18+UsefulLife), T2/UsefulLife, 0)</f>
        <v>0</v>
      </c>
      <c r="P22" s="7">
        <f>IF(AND(14&gt;=18, 14&lt;18+UsefulLife), T2/UsefulLife, 0)</f>
        <v>0</v>
      </c>
      <c r="Q22" s="7">
        <f>IF(AND(15&gt;=18, 15&lt;18+UsefulLife), T2/UsefulLife, 0)</f>
        <v>0</v>
      </c>
      <c r="R22" s="7">
        <f>IF(AND(16&gt;=18, 16&lt;18+UsefulLife), T2/UsefulLife, 0)</f>
        <v>0</v>
      </c>
      <c r="S22" s="7">
        <f>IF(AND(17&gt;=18, 17&lt;18+UsefulLife), T2/UsefulLife, 0)</f>
        <v>0</v>
      </c>
      <c r="T22" s="7">
        <f>IF(AND(18&gt;=18, 18&lt;18+UsefulLife), T2/UsefulLife, 0)</f>
        <v>0</v>
      </c>
      <c r="U22" s="7">
        <f>IF(AND(19&gt;=18, 19&lt;18+UsefulLife), T2/UsefulLife, 0)</f>
        <v>0</v>
      </c>
      <c r="V22" s="7">
        <f>IF(AND(20&gt;=18, 20&lt;18+UsefulLife), T2/UsefulLife, 0)</f>
        <v>0</v>
      </c>
      <c r="W22" s="7">
        <f>IF(AND(21&gt;=18, 21&lt;18+UsefulLife), T2/UsefulLife, 0)</f>
        <v>0</v>
      </c>
      <c r="X22" s="7">
        <f>IF(AND(22&gt;=18, 22&lt;18+UsefulLife), T2/UsefulLife, 0)</f>
        <v>0</v>
      </c>
      <c r="Y22" s="7">
        <f>IF(AND(23&gt;=18, 23&lt;18+UsefulLife), T2/UsefulLife, 0)</f>
        <v>0</v>
      </c>
      <c r="Z22" s="7">
        <f>IF(AND(24&gt;=18, 24&lt;18+UsefulLife), T2/UsefulLife, 0)</f>
        <v>0</v>
      </c>
      <c r="AA22" s="7">
        <f>IF(AND(25&gt;=18, 25&lt;18+UsefulLife), T2/UsefulLife, 0)</f>
        <v>0</v>
      </c>
      <c r="AB22" s="7">
        <f>IF(AND(26&gt;=18, 26&lt;18+UsefulLife), T2/UsefulLife, 0)</f>
        <v>0</v>
      </c>
      <c r="AC22" s="7">
        <f>IF(AND(27&gt;=18, 27&lt;18+UsefulLife), T2/UsefulLife, 0)</f>
        <v>0</v>
      </c>
      <c r="AD22" s="7">
        <f>IF(AND(28&gt;=18, 28&lt;18+UsefulLife), T2/UsefulLife, 0)</f>
        <v>0</v>
      </c>
      <c r="AE22" s="7">
        <f>IF(AND(29&gt;=18, 29&lt;18+UsefulLife), T2/UsefulLife, 0)</f>
        <v>0</v>
      </c>
      <c r="AF22" s="7">
        <f>IF(AND(30&gt;=18, 30&lt;18+UsefulLife), T2/UsefulLife, 0)</f>
        <v>0</v>
      </c>
      <c r="AG22" s="7">
        <f>IF(AND(31&gt;=18, 31&lt;18+UsefulLife), T2/UsefulLife, 0)</f>
        <v>0</v>
      </c>
      <c r="AH22" s="7">
        <f>IF(AND(32&gt;=18, 32&lt;18+UsefulLife), T2/UsefulLife, 0)</f>
        <v>0</v>
      </c>
      <c r="AI22" s="7">
        <f>IF(AND(33&gt;=18, 33&lt;18+UsefulLife), T2/UsefulLife, 0)</f>
        <v>0</v>
      </c>
      <c r="AJ22" s="7">
        <f>IF(AND(34&gt;=18, 34&lt;18+UsefulLife), T2/UsefulLife, 0)</f>
        <v>0</v>
      </c>
      <c r="AK22" s="7">
        <f>IF(AND(35&gt;=18, 35&lt;18+UsefulLife), T2/UsefulLife, 0)</f>
        <v>0</v>
      </c>
    </row>
    <row r="23" spans="1:37">
      <c r="A23" s="3" t="s">
        <v>109</v>
      </c>
      <c r="B23" s="7">
        <f>IF(AND(0&gt;=19, 0&lt;19+UsefulLife), U2/UsefulLife, 0)</f>
        <v>0</v>
      </c>
      <c r="C23" s="7">
        <f>IF(AND(1&gt;=19, 1&lt;19+UsefulLife), U2/UsefulLife, 0)</f>
        <v>0</v>
      </c>
      <c r="D23" s="7">
        <f>IF(AND(2&gt;=19, 2&lt;19+UsefulLife), U2/UsefulLife, 0)</f>
        <v>0</v>
      </c>
      <c r="E23" s="7">
        <f>IF(AND(3&gt;=19, 3&lt;19+UsefulLife), U2/UsefulLife, 0)</f>
        <v>0</v>
      </c>
      <c r="F23" s="7">
        <f>IF(AND(4&gt;=19, 4&lt;19+UsefulLife), U2/UsefulLife, 0)</f>
        <v>0</v>
      </c>
      <c r="G23" s="7">
        <f>IF(AND(5&gt;=19, 5&lt;19+UsefulLife), U2/UsefulLife, 0)</f>
        <v>0</v>
      </c>
      <c r="H23" s="7">
        <f>IF(AND(6&gt;=19, 6&lt;19+UsefulLife), U2/UsefulLife, 0)</f>
        <v>0</v>
      </c>
      <c r="I23" s="7">
        <f>IF(AND(7&gt;=19, 7&lt;19+UsefulLife), U2/UsefulLife, 0)</f>
        <v>0</v>
      </c>
      <c r="J23" s="7">
        <f>IF(AND(8&gt;=19, 8&lt;19+UsefulLife), U2/UsefulLife, 0)</f>
        <v>0</v>
      </c>
      <c r="K23" s="7">
        <f>IF(AND(9&gt;=19, 9&lt;19+UsefulLife), U2/UsefulLife, 0)</f>
        <v>0</v>
      </c>
      <c r="L23" s="7">
        <f>IF(AND(10&gt;=19, 10&lt;19+UsefulLife), U2/UsefulLife, 0)</f>
        <v>0</v>
      </c>
      <c r="M23" s="7">
        <f>IF(AND(11&gt;=19, 11&lt;19+UsefulLife), U2/UsefulLife, 0)</f>
        <v>0</v>
      </c>
      <c r="N23" s="7">
        <f>IF(AND(12&gt;=19, 12&lt;19+UsefulLife), U2/UsefulLife, 0)</f>
        <v>0</v>
      </c>
      <c r="O23" s="7">
        <f>IF(AND(13&gt;=19, 13&lt;19+UsefulLife), U2/UsefulLife, 0)</f>
        <v>0</v>
      </c>
      <c r="P23" s="7">
        <f>IF(AND(14&gt;=19, 14&lt;19+UsefulLife), U2/UsefulLife, 0)</f>
        <v>0</v>
      </c>
      <c r="Q23" s="7">
        <f>IF(AND(15&gt;=19, 15&lt;19+UsefulLife), U2/UsefulLife, 0)</f>
        <v>0</v>
      </c>
      <c r="R23" s="7">
        <f>IF(AND(16&gt;=19, 16&lt;19+UsefulLife), U2/UsefulLife, 0)</f>
        <v>0</v>
      </c>
      <c r="S23" s="7">
        <f>IF(AND(17&gt;=19, 17&lt;19+UsefulLife), U2/UsefulLife, 0)</f>
        <v>0</v>
      </c>
      <c r="T23" s="7">
        <f>IF(AND(18&gt;=19, 18&lt;19+UsefulLife), U2/UsefulLife, 0)</f>
        <v>0</v>
      </c>
      <c r="U23" s="7">
        <f>IF(AND(19&gt;=19, 19&lt;19+UsefulLife), U2/UsefulLife, 0)</f>
        <v>0</v>
      </c>
      <c r="V23" s="7">
        <f>IF(AND(20&gt;=19, 20&lt;19+UsefulLife), U2/UsefulLife, 0)</f>
        <v>0</v>
      </c>
      <c r="W23" s="7">
        <f>IF(AND(21&gt;=19, 21&lt;19+UsefulLife), U2/UsefulLife, 0)</f>
        <v>0</v>
      </c>
      <c r="X23" s="7">
        <f>IF(AND(22&gt;=19, 22&lt;19+UsefulLife), U2/UsefulLife, 0)</f>
        <v>0</v>
      </c>
      <c r="Y23" s="7">
        <f>IF(AND(23&gt;=19, 23&lt;19+UsefulLife), U2/UsefulLife, 0)</f>
        <v>0</v>
      </c>
      <c r="Z23" s="7">
        <f>IF(AND(24&gt;=19, 24&lt;19+UsefulLife), U2/UsefulLife, 0)</f>
        <v>0</v>
      </c>
      <c r="AA23" s="7">
        <f>IF(AND(25&gt;=19, 25&lt;19+UsefulLife), U2/UsefulLife, 0)</f>
        <v>0</v>
      </c>
      <c r="AB23" s="7">
        <f>IF(AND(26&gt;=19, 26&lt;19+UsefulLife), U2/UsefulLife, 0)</f>
        <v>0</v>
      </c>
      <c r="AC23" s="7">
        <f>IF(AND(27&gt;=19, 27&lt;19+UsefulLife), U2/UsefulLife, 0)</f>
        <v>0</v>
      </c>
      <c r="AD23" s="7">
        <f>IF(AND(28&gt;=19, 28&lt;19+UsefulLife), U2/UsefulLife, 0)</f>
        <v>0</v>
      </c>
      <c r="AE23" s="7">
        <f>IF(AND(29&gt;=19, 29&lt;19+UsefulLife), U2/UsefulLife, 0)</f>
        <v>0</v>
      </c>
      <c r="AF23" s="7">
        <f>IF(AND(30&gt;=19, 30&lt;19+UsefulLife), U2/UsefulLife, 0)</f>
        <v>0</v>
      </c>
      <c r="AG23" s="7">
        <f>IF(AND(31&gt;=19, 31&lt;19+UsefulLife), U2/UsefulLife, 0)</f>
        <v>0</v>
      </c>
      <c r="AH23" s="7">
        <f>IF(AND(32&gt;=19, 32&lt;19+UsefulLife), U2/UsefulLife, 0)</f>
        <v>0</v>
      </c>
      <c r="AI23" s="7">
        <f>IF(AND(33&gt;=19, 33&lt;19+UsefulLife), U2/UsefulLife, 0)</f>
        <v>0</v>
      </c>
      <c r="AJ23" s="7">
        <f>IF(AND(34&gt;=19, 34&lt;19+UsefulLife), U2/UsefulLife, 0)</f>
        <v>0</v>
      </c>
      <c r="AK23" s="7">
        <f>IF(AND(35&gt;=19, 35&lt;19+UsefulLife), U2/UsefulLife, 0)</f>
        <v>0</v>
      </c>
    </row>
    <row r="24" spans="1:37">
      <c r="A24" s="3" t="s">
        <v>110</v>
      </c>
      <c r="B24" s="7">
        <f>IF(AND(0&gt;=20, 0&lt;20+UsefulLife), V2/UsefulLife, 0)</f>
        <v>0</v>
      </c>
      <c r="C24" s="7">
        <f>IF(AND(1&gt;=20, 1&lt;20+UsefulLife), V2/UsefulLife, 0)</f>
        <v>0</v>
      </c>
      <c r="D24" s="7">
        <f>IF(AND(2&gt;=20, 2&lt;20+UsefulLife), V2/UsefulLife, 0)</f>
        <v>0</v>
      </c>
      <c r="E24" s="7">
        <f>IF(AND(3&gt;=20, 3&lt;20+UsefulLife), V2/UsefulLife, 0)</f>
        <v>0</v>
      </c>
      <c r="F24" s="7">
        <f>IF(AND(4&gt;=20, 4&lt;20+UsefulLife), V2/UsefulLife, 0)</f>
        <v>0</v>
      </c>
      <c r="G24" s="7">
        <f>IF(AND(5&gt;=20, 5&lt;20+UsefulLife), V2/UsefulLife, 0)</f>
        <v>0</v>
      </c>
      <c r="H24" s="7">
        <f>IF(AND(6&gt;=20, 6&lt;20+UsefulLife), V2/UsefulLife, 0)</f>
        <v>0</v>
      </c>
      <c r="I24" s="7">
        <f>IF(AND(7&gt;=20, 7&lt;20+UsefulLife), V2/UsefulLife, 0)</f>
        <v>0</v>
      </c>
      <c r="J24" s="7">
        <f>IF(AND(8&gt;=20, 8&lt;20+UsefulLife), V2/UsefulLife, 0)</f>
        <v>0</v>
      </c>
      <c r="K24" s="7">
        <f>IF(AND(9&gt;=20, 9&lt;20+UsefulLife), V2/UsefulLife, 0)</f>
        <v>0</v>
      </c>
      <c r="L24" s="7">
        <f>IF(AND(10&gt;=20, 10&lt;20+UsefulLife), V2/UsefulLife, 0)</f>
        <v>0</v>
      </c>
      <c r="M24" s="7">
        <f>IF(AND(11&gt;=20, 11&lt;20+UsefulLife), V2/UsefulLife, 0)</f>
        <v>0</v>
      </c>
      <c r="N24" s="7">
        <f>IF(AND(12&gt;=20, 12&lt;20+UsefulLife), V2/UsefulLife, 0)</f>
        <v>0</v>
      </c>
      <c r="O24" s="7">
        <f>IF(AND(13&gt;=20, 13&lt;20+UsefulLife), V2/UsefulLife, 0)</f>
        <v>0</v>
      </c>
      <c r="P24" s="7">
        <f>IF(AND(14&gt;=20, 14&lt;20+UsefulLife), V2/UsefulLife, 0)</f>
        <v>0</v>
      </c>
      <c r="Q24" s="7">
        <f>IF(AND(15&gt;=20, 15&lt;20+UsefulLife), V2/UsefulLife, 0)</f>
        <v>0</v>
      </c>
      <c r="R24" s="7">
        <f>IF(AND(16&gt;=20, 16&lt;20+UsefulLife), V2/UsefulLife, 0)</f>
        <v>0</v>
      </c>
      <c r="S24" s="7">
        <f>IF(AND(17&gt;=20, 17&lt;20+UsefulLife), V2/UsefulLife, 0)</f>
        <v>0</v>
      </c>
      <c r="T24" s="7">
        <f>IF(AND(18&gt;=20, 18&lt;20+UsefulLife), V2/UsefulLife, 0)</f>
        <v>0</v>
      </c>
      <c r="U24" s="7">
        <f>IF(AND(19&gt;=20, 19&lt;20+UsefulLife), V2/UsefulLife, 0)</f>
        <v>0</v>
      </c>
      <c r="V24" s="7">
        <f>IF(AND(20&gt;=20, 20&lt;20+UsefulLife), V2/UsefulLife, 0)</f>
        <v>0</v>
      </c>
      <c r="W24" s="7">
        <f>IF(AND(21&gt;=20, 21&lt;20+UsefulLife), V2/UsefulLife, 0)</f>
        <v>0</v>
      </c>
      <c r="X24" s="7">
        <f>IF(AND(22&gt;=20, 22&lt;20+UsefulLife), V2/UsefulLife, 0)</f>
        <v>0</v>
      </c>
      <c r="Y24" s="7">
        <f>IF(AND(23&gt;=20, 23&lt;20+UsefulLife), V2/UsefulLife, 0)</f>
        <v>0</v>
      </c>
      <c r="Z24" s="7">
        <f>IF(AND(24&gt;=20, 24&lt;20+UsefulLife), V2/UsefulLife, 0)</f>
        <v>0</v>
      </c>
      <c r="AA24" s="7">
        <f>IF(AND(25&gt;=20, 25&lt;20+UsefulLife), V2/UsefulLife, 0)</f>
        <v>0</v>
      </c>
      <c r="AB24" s="7">
        <f>IF(AND(26&gt;=20, 26&lt;20+UsefulLife), V2/UsefulLife, 0)</f>
        <v>0</v>
      </c>
      <c r="AC24" s="7">
        <f>IF(AND(27&gt;=20, 27&lt;20+UsefulLife), V2/UsefulLife, 0)</f>
        <v>0</v>
      </c>
      <c r="AD24" s="7">
        <f>IF(AND(28&gt;=20, 28&lt;20+UsefulLife), V2/UsefulLife, 0)</f>
        <v>0</v>
      </c>
      <c r="AE24" s="7">
        <f>IF(AND(29&gt;=20, 29&lt;20+UsefulLife), V2/UsefulLife, 0)</f>
        <v>0</v>
      </c>
      <c r="AF24" s="7">
        <f>IF(AND(30&gt;=20, 30&lt;20+UsefulLife), V2/UsefulLife, 0)</f>
        <v>0</v>
      </c>
      <c r="AG24" s="7">
        <f>IF(AND(31&gt;=20, 31&lt;20+UsefulLife), V2/UsefulLife, 0)</f>
        <v>0</v>
      </c>
      <c r="AH24" s="7">
        <f>IF(AND(32&gt;=20, 32&lt;20+UsefulLife), V2/UsefulLife, 0)</f>
        <v>0</v>
      </c>
      <c r="AI24" s="7">
        <f>IF(AND(33&gt;=20, 33&lt;20+UsefulLife), V2/UsefulLife, 0)</f>
        <v>0</v>
      </c>
      <c r="AJ24" s="7">
        <f>IF(AND(34&gt;=20, 34&lt;20+UsefulLife), V2/UsefulLife, 0)</f>
        <v>0</v>
      </c>
      <c r="AK24" s="7">
        <f>IF(AND(35&gt;=20, 35&lt;20+UsefulLife), V2/UsefulLife, 0)</f>
        <v>0</v>
      </c>
    </row>
    <row r="25" spans="1:37">
      <c r="A25" s="3" t="s">
        <v>111</v>
      </c>
      <c r="B25" s="7">
        <f>IF(AND(0&gt;=21, 0&lt;21+UsefulLife), W2/UsefulLife, 0)</f>
        <v>0</v>
      </c>
      <c r="C25" s="7">
        <f>IF(AND(1&gt;=21, 1&lt;21+UsefulLife), W2/UsefulLife, 0)</f>
        <v>0</v>
      </c>
      <c r="D25" s="7">
        <f>IF(AND(2&gt;=21, 2&lt;21+UsefulLife), W2/UsefulLife, 0)</f>
        <v>0</v>
      </c>
      <c r="E25" s="7">
        <f>IF(AND(3&gt;=21, 3&lt;21+UsefulLife), W2/UsefulLife, 0)</f>
        <v>0</v>
      </c>
      <c r="F25" s="7">
        <f>IF(AND(4&gt;=21, 4&lt;21+UsefulLife), W2/UsefulLife, 0)</f>
        <v>0</v>
      </c>
      <c r="G25" s="7">
        <f>IF(AND(5&gt;=21, 5&lt;21+UsefulLife), W2/UsefulLife, 0)</f>
        <v>0</v>
      </c>
      <c r="H25" s="7">
        <f>IF(AND(6&gt;=21, 6&lt;21+UsefulLife), W2/UsefulLife, 0)</f>
        <v>0</v>
      </c>
      <c r="I25" s="7">
        <f>IF(AND(7&gt;=21, 7&lt;21+UsefulLife), W2/UsefulLife, 0)</f>
        <v>0</v>
      </c>
      <c r="J25" s="7">
        <f>IF(AND(8&gt;=21, 8&lt;21+UsefulLife), W2/UsefulLife, 0)</f>
        <v>0</v>
      </c>
      <c r="K25" s="7">
        <f>IF(AND(9&gt;=21, 9&lt;21+UsefulLife), W2/UsefulLife, 0)</f>
        <v>0</v>
      </c>
      <c r="L25" s="7">
        <f>IF(AND(10&gt;=21, 10&lt;21+UsefulLife), W2/UsefulLife, 0)</f>
        <v>0</v>
      </c>
      <c r="M25" s="7">
        <f>IF(AND(11&gt;=21, 11&lt;21+UsefulLife), W2/UsefulLife, 0)</f>
        <v>0</v>
      </c>
      <c r="N25" s="7">
        <f>IF(AND(12&gt;=21, 12&lt;21+UsefulLife), W2/UsefulLife, 0)</f>
        <v>0</v>
      </c>
      <c r="O25" s="7">
        <f>IF(AND(13&gt;=21, 13&lt;21+UsefulLife), W2/UsefulLife, 0)</f>
        <v>0</v>
      </c>
      <c r="P25" s="7">
        <f>IF(AND(14&gt;=21, 14&lt;21+UsefulLife), W2/UsefulLife, 0)</f>
        <v>0</v>
      </c>
      <c r="Q25" s="7">
        <f>IF(AND(15&gt;=21, 15&lt;21+UsefulLife), W2/UsefulLife, 0)</f>
        <v>0</v>
      </c>
      <c r="R25" s="7">
        <f>IF(AND(16&gt;=21, 16&lt;21+UsefulLife), W2/UsefulLife, 0)</f>
        <v>0</v>
      </c>
      <c r="S25" s="7">
        <f>IF(AND(17&gt;=21, 17&lt;21+UsefulLife), W2/UsefulLife, 0)</f>
        <v>0</v>
      </c>
      <c r="T25" s="7">
        <f>IF(AND(18&gt;=21, 18&lt;21+UsefulLife), W2/UsefulLife, 0)</f>
        <v>0</v>
      </c>
      <c r="U25" s="7">
        <f>IF(AND(19&gt;=21, 19&lt;21+UsefulLife), W2/UsefulLife, 0)</f>
        <v>0</v>
      </c>
      <c r="V25" s="7">
        <f>IF(AND(20&gt;=21, 20&lt;21+UsefulLife), W2/UsefulLife, 0)</f>
        <v>0</v>
      </c>
      <c r="W25" s="7">
        <f>IF(AND(21&gt;=21, 21&lt;21+UsefulLife), W2/UsefulLife, 0)</f>
        <v>0</v>
      </c>
      <c r="X25" s="7">
        <f>IF(AND(22&gt;=21, 22&lt;21+UsefulLife), W2/UsefulLife, 0)</f>
        <v>0</v>
      </c>
      <c r="Y25" s="7">
        <f>IF(AND(23&gt;=21, 23&lt;21+UsefulLife), W2/UsefulLife, 0)</f>
        <v>0</v>
      </c>
      <c r="Z25" s="7">
        <f>IF(AND(24&gt;=21, 24&lt;21+UsefulLife), W2/UsefulLife, 0)</f>
        <v>0</v>
      </c>
      <c r="AA25" s="7">
        <f>IF(AND(25&gt;=21, 25&lt;21+UsefulLife), W2/UsefulLife, 0)</f>
        <v>0</v>
      </c>
      <c r="AB25" s="7">
        <f>IF(AND(26&gt;=21, 26&lt;21+UsefulLife), W2/UsefulLife, 0)</f>
        <v>0</v>
      </c>
      <c r="AC25" s="7">
        <f>IF(AND(27&gt;=21, 27&lt;21+UsefulLife), W2/UsefulLife, 0)</f>
        <v>0</v>
      </c>
      <c r="AD25" s="7">
        <f>IF(AND(28&gt;=21, 28&lt;21+UsefulLife), W2/UsefulLife, 0)</f>
        <v>0</v>
      </c>
      <c r="AE25" s="7">
        <f>IF(AND(29&gt;=21, 29&lt;21+UsefulLife), W2/UsefulLife, 0)</f>
        <v>0</v>
      </c>
      <c r="AF25" s="7">
        <f>IF(AND(30&gt;=21, 30&lt;21+UsefulLife), W2/UsefulLife, 0)</f>
        <v>0</v>
      </c>
      <c r="AG25" s="7">
        <f>IF(AND(31&gt;=21, 31&lt;21+UsefulLife), W2/UsefulLife, 0)</f>
        <v>0</v>
      </c>
      <c r="AH25" s="7">
        <f>IF(AND(32&gt;=21, 32&lt;21+UsefulLife), W2/UsefulLife, 0)</f>
        <v>0</v>
      </c>
      <c r="AI25" s="7">
        <f>IF(AND(33&gt;=21, 33&lt;21+UsefulLife), W2/UsefulLife, 0)</f>
        <v>0</v>
      </c>
      <c r="AJ25" s="7">
        <f>IF(AND(34&gt;=21, 34&lt;21+UsefulLife), W2/UsefulLife, 0)</f>
        <v>0</v>
      </c>
      <c r="AK25" s="7">
        <f>IF(AND(35&gt;=21, 35&lt;21+UsefulLife), W2/UsefulLife, 0)</f>
        <v>0</v>
      </c>
    </row>
    <row r="26" spans="1:37">
      <c r="A26" s="3" t="s">
        <v>112</v>
      </c>
      <c r="B26" s="7">
        <f>IF(AND(0&gt;=22, 0&lt;22+UsefulLife), X2/UsefulLife, 0)</f>
        <v>0</v>
      </c>
      <c r="C26" s="7">
        <f>IF(AND(1&gt;=22, 1&lt;22+UsefulLife), X2/UsefulLife, 0)</f>
        <v>0</v>
      </c>
      <c r="D26" s="7">
        <f>IF(AND(2&gt;=22, 2&lt;22+UsefulLife), X2/UsefulLife, 0)</f>
        <v>0</v>
      </c>
      <c r="E26" s="7">
        <f>IF(AND(3&gt;=22, 3&lt;22+UsefulLife), X2/UsefulLife, 0)</f>
        <v>0</v>
      </c>
      <c r="F26" s="7">
        <f>IF(AND(4&gt;=22, 4&lt;22+UsefulLife), X2/UsefulLife, 0)</f>
        <v>0</v>
      </c>
      <c r="G26" s="7">
        <f>IF(AND(5&gt;=22, 5&lt;22+UsefulLife), X2/UsefulLife, 0)</f>
        <v>0</v>
      </c>
      <c r="H26" s="7">
        <f>IF(AND(6&gt;=22, 6&lt;22+UsefulLife), X2/UsefulLife, 0)</f>
        <v>0</v>
      </c>
      <c r="I26" s="7">
        <f>IF(AND(7&gt;=22, 7&lt;22+UsefulLife), X2/UsefulLife, 0)</f>
        <v>0</v>
      </c>
      <c r="J26" s="7">
        <f>IF(AND(8&gt;=22, 8&lt;22+UsefulLife), X2/UsefulLife, 0)</f>
        <v>0</v>
      </c>
      <c r="K26" s="7">
        <f>IF(AND(9&gt;=22, 9&lt;22+UsefulLife), X2/UsefulLife, 0)</f>
        <v>0</v>
      </c>
      <c r="L26" s="7">
        <f>IF(AND(10&gt;=22, 10&lt;22+UsefulLife), X2/UsefulLife, 0)</f>
        <v>0</v>
      </c>
      <c r="M26" s="7">
        <f>IF(AND(11&gt;=22, 11&lt;22+UsefulLife), X2/UsefulLife, 0)</f>
        <v>0</v>
      </c>
      <c r="N26" s="7">
        <f>IF(AND(12&gt;=22, 12&lt;22+UsefulLife), X2/UsefulLife, 0)</f>
        <v>0</v>
      </c>
      <c r="O26" s="7">
        <f>IF(AND(13&gt;=22, 13&lt;22+UsefulLife), X2/UsefulLife, 0)</f>
        <v>0</v>
      </c>
      <c r="P26" s="7">
        <f>IF(AND(14&gt;=22, 14&lt;22+UsefulLife), X2/UsefulLife, 0)</f>
        <v>0</v>
      </c>
      <c r="Q26" s="7">
        <f>IF(AND(15&gt;=22, 15&lt;22+UsefulLife), X2/UsefulLife, 0)</f>
        <v>0</v>
      </c>
      <c r="R26" s="7">
        <f>IF(AND(16&gt;=22, 16&lt;22+UsefulLife), X2/UsefulLife, 0)</f>
        <v>0</v>
      </c>
      <c r="S26" s="7">
        <f>IF(AND(17&gt;=22, 17&lt;22+UsefulLife), X2/UsefulLife, 0)</f>
        <v>0</v>
      </c>
      <c r="T26" s="7">
        <f>IF(AND(18&gt;=22, 18&lt;22+UsefulLife), X2/UsefulLife, 0)</f>
        <v>0</v>
      </c>
      <c r="U26" s="7">
        <f>IF(AND(19&gt;=22, 19&lt;22+UsefulLife), X2/UsefulLife, 0)</f>
        <v>0</v>
      </c>
      <c r="V26" s="7">
        <f>IF(AND(20&gt;=22, 20&lt;22+UsefulLife), X2/UsefulLife, 0)</f>
        <v>0</v>
      </c>
      <c r="W26" s="7">
        <f>IF(AND(21&gt;=22, 21&lt;22+UsefulLife), X2/UsefulLife, 0)</f>
        <v>0</v>
      </c>
      <c r="X26" s="7">
        <f>IF(AND(22&gt;=22, 22&lt;22+UsefulLife), X2/UsefulLife, 0)</f>
        <v>0</v>
      </c>
      <c r="Y26" s="7">
        <f>IF(AND(23&gt;=22, 23&lt;22+UsefulLife), X2/UsefulLife, 0)</f>
        <v>0</v>
      </c>
      <c r="Z26" s="7">
        <f>IF(AND(24&gt;=22, 24&lt;22+UsefulLife), X2/UsefulLife, 0)</f>
        <v>0</v>
      </c>
      <c r="AA26" s="7">
        <f>IF(AND(25&gt;=22, 25&lt;22+UsefulLife), X2/UsefulLife, 0)</f>
        <v>0</v>
      </c>
      <c r="AB26" s="7">
        <f>IF(AND(26&gt;=22, 26&lt;22+UsefulLife), X2/UsefulLife, 0)</f>
        <v>0</v>
      </c>
      <c r="AC26" s="7">
        <f>IF(AND(27&gt;=22, 27&lt;22+UsefulLife), X2/UsefulLife, 0)</f>
        <v>0</v>
      </c>
      <c r="AD26" s="7">
        <f>IF(AND(28&gt;=22, 28&lt;22+UsefulLife), X2/UsefulLife, 0)</f>
        <v>0</v>
      </c>
      <c r="AE26" s="7">
        <f>IF(AND(29&gt;=22, 29&lt;22+UsefulLife), X2/UsefulLife, 0)</f>
        <v>0</v>
      </c>
      <c r="AF26" s="7">
        <f>IF(AND(30&gt;=22, 30&lt;22+UsefulLife), X2/UsefulLife, 0)</f>
        <v>0</v>
      </c>
      <c r="AG26" s="7">
        <f>IF(AND(31&gt;=22, 31&lt;22+UsefulLife), X2/UsefulLife, 0)</f>
        <v>0</v>
      </c>
      <c r="AH26" s="7">
        <f>IF(AND(32&gt;=22, 32&lt;22+UsefulLife), X2/UsefulLife, 0)</f>
        <v>0</v>
      </c>
      <c r="AI26" s="7">
        <f>IF(AND(33&gt;=22, 33&lt;22+UsefulLife), X2/UsefulLife, 0)</f>
        <v>0</v>
      </c>
      <c r="AJ26" s="7">
        <f>IF(AND(34&gt;=22, 34&lt;22+UsefulLife), X2/UsefulLife, 0)</f>
        <v>0</v>
      </c>
      <c r="AK26" s="7">
        <f>IF(AND(35&gt;=22, 35&lt;22+UsefulLife), X2/UsefulLife, 0)</f>
        <v>0</v>
      </c>
    </row>
    <row r="27" spans="1:37">
      <c r="A27" s="3" t="s">
        <v>113</v>
      </c>
      <c r="B27" s="7">
        <f>IF(AND(0&gt;=23, 0&lt;23+UsefulLife), Y2/UsefulLife, 0)</f>
        <v>0</v>
      </c>
      <c r="C27" s="7">
        <f>IF(AND(1&gt;=23, 1&lt;23+UsefulLife), Y2/UsefulLife, 0)</f>
        <v>0</v>
      </c>
      <c r="D27" s="7">
        <f>IF(AND(2&gt;=23, 2&lt;23+UsefulLife), Y2/UsefulLife, 0)</f>
        <v>0</v>
      </c>
      <c r="E27" s="7">
        <f>IF(AND(3&gt;=23, 3&lt;23+UsefulLife), Y2/UsefulLife, 0)</f>
        <v>0</v>
      </c>
      <c r="F27" s="7">
        <f>IF(AND(4&gt;=23, 4&lt;23+UsefulLife), Y2/UsefulLife, 0)</f>
        <v>0</v>
      </c>
      <c r="G27" s="7">
        <f>IF(AND(5&gt;=23, 5&lt;23+UsefulLife), Y2/UsefulLife, 0)</f>
        <v>0</v>
      </c>
      <c r="H27" s="7">
        <f>IF(AND(6&gt;=23, 6&lt;23+UsefulLife), Y2/UsefulLife, 0)</f>
        <v>0</v>
      </c>
      <c r="I27" s="7">
        <f>IF(AND(7&gt;=23, 7&lt;23+UsefulLife), Y2/UsefulLife, 0)</f>
        <v>0</v>
      </c>
      <c r="J27" s="7">
        <f>IF(AND(8&gt;=23, 8&lt;23+UsefulLife), Y2/UsefulLife, 0)</f>
        <v>0</v>
      </c>
      <c r="K27" s="7">
        <f>IF(AND(9&gt;=23, 9&lt;23+UsefulLife), Y2/UsefulLife, 0)</f>
        <v>0</v>
      </c>
      <c r="L27" s="7">
        <f>IF(AND(10&gt;=23, 10&lt;23+UsefulLife), Y2/UsefulLife, 0)</f>
        <v>0</v>
      </c>
      <c r="M27" s="7">
        <f>IF(AND(11&gt;=23, 11&lt;23+UsefulLife), Y2/UsefulLife, 0)</f>
        <v>0</v>
      </c>
      <c r="N27" s="7">
        <f>IF(AND(12&gt;=23, 12&lt;23+UsefulLife), Y2/UsefulLife, 0)</f>
        <v>0</v>
      </c>
      <c r="O27" s="7">
        <f>IF(AND(13&gt;=23, 13&lt;23+UsefulLife), Y2/UsefulLife, 0)</f>
        <v>0</v>
      </c>
      <c r="P27" s="7">
        <f>IF(AND(14&gt;=23, 14&lt;23+UsefulLife), Y2/UsefulLife, 0)</f>
        <v>0</v>
      </c>
      <c r="Q27" s="7">
        <f>IF(AND(15&gt;=23, 15&lt;23+UsefulLife), Y2/UsefulLife, 0)</f>
        <v>0</v>
      </c>
      <c r="R27" s="7">
        <f>IF(AND(16&gt;=23, 16&lt;23+UsefulLife), Y2/UsefulLife, 0)</f>
        <v>0</v>
      </c>
      <c r="S27" s="7">
        <f>IF(AND(17&gt;=23, 17&lt;23+UsefulLife), Y2/UsefulLife, 0)</f>
        <v>0</v>
      </c>
      <c r="T27" s="7">
        <f>IF(AND(18&gt;=23, 18&lt;23+UsefulLife), Y2/UsefulLife, 0)</f>
        <v>0</v>
      </c>
      <c r="U27" s="7">
        <f>IF(AND(19&gt;=23, 19&lt;23+UsefulLife), Y2/UsefulLife, 0)</f>
        <v>0</v>
      </c>
      <c r="V27" s="7">
        <f>IF(AND(20&gt;=23, 20&lt;23+UsefulLife), Y2/UsefulLife, 0)</f>
        <v>0</v>
      </c>
      <c r="W27" s="7">
        <f>IF(AND(21&gt;=23, 21&lt;23+UsefulLife), Y2/UsefulLife, 0)</f>
        <v>0</v>
      </c>
      <c r="X27" s="7">
        <f>IF(AND(22&gt;=23, 22&lt;23+UsefulLife), Y2/UsefulLife, 0)</f>
        <v>0</v>
      </c>
      <c r="Y27" s="7">
        <f>IF(AND(23&gt;=23, 23&lt;23+UsefulLife), Y2/UsefulLife, 0)</f>
        <v>0</v>
      </c>
      <c r="Z27" s="7">
        <f>IF(AND(24&gt;=23, 24&lt;23+UsefulLife), Y2/UsefulLife, 0)</f>
        <v>0</v>
      </c>
      <c r="AA27" s="7">
        <f>IF(AND(25&gt;=23, 25&lt;23+UsefulLife), Y2/UsefulLife, 0)</f>
        <v>0</v>
      </c>
      <c r="AB27" s="7">
        <f>IF(AND(26&gt;=23, 26&lt;23+UsefulLife), Y2/UsefulLife, 0)</f>
        <v>0</v>
      </c>
      <c r="AC27" s="7">
        <f>IF(AND(27&gt;=23, 27&lt;23+UsefulLife), Y2/UsefulLife, 0)</f>
        <v>0</v>
      </c>
      <c r="AD27" s="7">
        <f>IF(AND(28&gt;=23, 28&lt;23+UsefulLife), Y2/UsefulLife, 0)</f>
        <v>0</v>
      </c>
      <c r="AE27" s="7">
        <f>IF(AND(29&gt;=23, 29&lt;23+UsefulLife), Y2/UsefulLife, 0)</f>
        <v>0</v>
      </c>
      <c r="AF27" s="7">
        <f>IF(AND(30&gt;=23, 30&lt;23+UsefulLife), Y2/UsefulLife, 0)</f>
        <v>0</v>
      </c>
      <c r="AG27" s="7">
        <f>IF(AND(31&gt;=23, 31&lt;23+UsefulLife), Y2/UsefulLife, 0)</f>
        <v>0</v>
      </c>
      <c r="AH27" s="7">
        <f>IF(AND(32&gt;=23, 32&lt;23+UsefulLife), Y2/UsefulLife, 0)</f>
        <v>0</v>
      </c>
      <c r="AI27" s="7">
        <f>IF(AND(33&gt;=23, 33&lt;23+UsefulLife), Y2/UsefulLife, 0)</f>
        <v>0</v>
      </c>
      <c r="AJ27" s="7">
        <f>IF(AND(34&gt;=23, 34&lt;23+UsefulLife), Y2/UsefulLife, 0)</f>
        <v>0</v>
      </c>
      <c r="AK27" s="7">
        <f>IF(AND(35&gt;=23, 35&lt;23+UsefulLife), Y2/UsefulLife, 0)</f>
        <v>0</v>
      </c>
    </row>
    <row r="28" spans="1:37">
      <c r="A28" s="3" t="s">
        <v>114</v>
      </c>
      <c r="B28" s="7">
        <f>IF(AND(0&gt;=24, 0&lt;24+UsefulLife), Z2/UsefulLife, 0)</f>
        <v>0</v>
      </c>
      <c r="C28" s="7">
        <f>IF(AND(1&gt;=24, 1&lt;24+UsefulLife), Z2/UsefulLife, 0)</f>
        <v>0</v>
      </c>
      <c r="D28" s="7">
        <f>IF(AND(2&gt;=24, 2&lt;24+UsefulLife), Z2/UsefulLife, 0)</f>
        <v>0</v>
      </c>
      <c r="E28" s="7">
        <f>IF(AND(3&gt;=24, 3&lt;24+UsefulLife), Z2/UsefulLife, 0)</f>
        <v>0</v>
      </c>
      <c r="F28" s="7">
        <f>IF(AND(4&gt;=24, 4&lt;24+UsefulLife), Z2/UsefulLife, 0)</f>
        <v>0</v>
      </c>
      <c r="G28" s="7">
        <f>IF(AND(5&gt;=24, 5&lt;24+UsefulLife), Z2/UsefulLife, 0)</f>
        <v>0</v>
      </c>
      <c r="H28" s="7">
        <f>IF(AND(6&gt;=24, 6&lt;24+UsefulLife), Z2/UsefulLife, 0)</f>
        <v>0</v>
      </c>
      <c r="I28" s="7">
        <f>IF(AND(7&gt;=24, 7&lt;24+UsefulLife), Z2/UsefulLife, 0)</f>
        <v>0</v>
      </c>
      <c r="J28" s="7">
        <f>IF(AND(8&gt;=24, 8&lt;24+UsefulLife), Z2/UsefulLife, 0)</f>
        <v>0</v>
      </c>
      <c r="K28" s="7">
        <f>IF(AND(9&gt;=24, 9&lt;24+UsefulLife), Z2/UsefulLife, 0)</f>
        <v>0</v>
      </c>
      <c r="L28" s="7">
        <f>IF(AND(10&gt;=24, 10&lt;24+UsefulLife), Z2/UsefulLife, 0)</f>
        <v>0</v>
      </c>
      <c r="M28" s="7">
        <f>IF(AND(11&gt;=24, 11&lt;24+UsefulLife), Z2/UsefulLife, 0)</f>
        <v>0</v>
      </c>
      <c r="N28" s="7">
        <f>IF(AND(12&gt;=24, 12&lt;24+UsefulLife), Z2/UsefulLife, 0)</f>
        <v>0</v>
      </c>
      <c r="O28" s="7">
        <f>IF(AND(13&gt;=24, 13&lt;24+UsefulLife), Z2/UsefulLife, 0)</f>
        <v>0</v>
      </c>
      <c r="P28" s="7">
        <f>IF(AND(14&gt;=24, 14&lt;24+UsefulLife), Z2/UsefulLife, 0)</f>
        <v>0</v>
      </c>
      <c r="Q28" s="7">
        <f>IF(AND(15&gt;=24, 15&lt;24+UsefulLife), Z2/UsefulLife, 0)</f>
        <v>0</v>
      </c>
      <c r="R28" s="7">
        <f>IF(AND(16&gt;=24, 16&lt;24+UsefulLife), Z2/UsefulLife, 0)</f>
        <v>0</v>
      </c>
      <c r="S28" s="7">
        <f>IF(AND(17&gt;=24, 17&lt;24+UsefulLife), Z2/UsefulLife, 0)</f>
        <v>0</v>
      </c>
      <c r="T28" s="7">
        <f>IF(AND(18&gt;=24, 18&lt;24+UsefulLife), Z2/UsefulLife, 0)</f>
        <v>0</v>
      </c>
      <c r="U28" s="7">
        <f>IF(AND(19&gt;=24, 19&lt;24+UsefulLife), Z2/UsefulLife, 0)</f>
        <v>0</v>
      </c>
      <c r="V28" s="7">
        <f>IF(AND(20&gt;=24, 20&lt;24+UsefulLife), Z2/UsefulLife, 0)</f>
        <v>0</v>
      </c>
      <c r="W28" s="7">
        <f>IF(AND(21&gt;=24, 21&lt;24+UsefulLife), Z2/UsefulLife, 0)</f>
        <v>0</v>
      </c>
      <c r="X28" s="7">
        <f>IF(AND(22&gt;=24, 22&lt;24+UsefulLife), Z2/UsefulLife, 0)</f>
        <v>0</v>
      </c>
      <c r="Y28" s="7">
        <f>IF(AND(23&gt;=24, 23&lt;24+UsefulLife), Z2/UsefulLife, 0)</f>
        <v>0</v>
      </c>
      <c r="Z28" s="7">
        <f>IF(AND(24&gt;=24, 24&lt;24+UsefulLife), Z2/UsefulLife, 0)</f>
        <v>0</v>
      </c>
      <c r="AA28" s="7">
        <f>IF(AND(25&gt;=24, 25&lt;24+UsefulLife), Z2/UsefulLife, 0)</f>
        <v>0</v>
      </c>
      <c r="AB28" s="7">
        <f>IF(AND(26&gt;=24, 26&lt;24+UsefulLife), Z2/UsefulLife, 0)</f>
        <v>0</v>
      </c>
      <c r="AC28" s="7">
        <f>IF(AND(27&gt;=24, 27&lt;24+UsefulLife), Z2/UsefulLife, 0)</f>
        <v>0</v>
      </c>
      <c r="AD28" s="7">
        <f>IF(AND(28&gt;=24, 28&lt;24+UsefulLife), Z2/UsefulLife, 0)</f>
        <v>0</v>
      </c>
      <c r="AE28" s="7">
        <f>IF(AND(29&gt;=24, 29&lt;24+UsefulLife), Z2/UsefulLife, 0)</f>
        <v>0</v>
      </c>
      <c r="AF28" s="7">
        <f>IF(AND(30&gt;=24, 30&lt;24+UsefulLife), Z2/UsefulLife, 0)</f>
        <v>0</v>
      </c>
      <c r="AG28" s="7">
        <f>IF(AND(31&gt;=24, 31&lt;24+UsefulLife), Z2/UsefulLife, 0)</f>
        <v>0</v>
      </c>
      <c r="AH28" s="7">
        <f>IF(AND(32&gt;=24, 32&lt;24+UsefulLife), Z2/UsefulLife, 0)</f>
        <v>0</v>
      </c>
      <c r="AI28" s="7">
        <f>IF(AND(33&gt;=24, 33&lt;24+UsefulLife), Z2/UsefulLife, 0)</f>
        <v>0</v>
      </c>
      <c r="AJ28" s="7">
        <f>IF(AND(34&gt;=24, 34&lt;24+UsefulLife), Z2/UsefulLife, 0)</f>
        <v>0</v>
      </c>
      <c r="AK28" s="7">
        <f>IF(AND(35&gt;=24, 35&lt;24+UsefulLife), Z2/UsefulLife, 0)</f>
        <v>0</v>
      </c>
    </row>
    <row r="29" spans="1:37">
      <c r="A29" s="3" t="s">
        <v>115</v>
      </c>
      <c r="B29" s="7">
        <f>IF(AND(0&gt;=25, 0&lt;25+UsefulLife), AA2/UsefulLife, 0)</f>
        <v>0</v>
      </c>
      <c r="C29" s="7">
        <f>IF(AND(1&gt;=25, 1&lt;25+UsefulLife), AA2/UsefulLife, 0)</f>
        <v>0</v>
      </c>
      <c r="D29" s="7">
        <f>IF(AND(2&gt;=25, 2&lt;25+UsefulLife), AA2/UsefulLife, 0)</f>
        <v>0</v>
      </c>
      <c r="E29" s="7">
        <f>IF(AND(3&gt;=25, 3&lt;25+UsefulLife), AA2/UsefulLife, 0)</f>
        <v>0</v>
      </c>
      <c r="F29" s="7">
        <f>IF(AND(4&gt;=25, 4&lt;25+UsefulLife), AA2/UsefulLife, 0)</f>
        <v>0</v>
      </c>
      <c r="G29" s="7">
        <f>IF(AND(5&gt;=25, 5&lt;25+UsefulLife), AA2/UsefulLife, 0)</f>
        <v>0</v>
      </c>
      <c r="H29" s="7">
        <f>IF(AND(6&gt;=25, 6&lt;25+UsefulLife), AA2/UsefulLife, 0)</f>
        <v>0</v>
      </c>
      <c r="I29" s="7">
        <f>IF(AND(7&gt;=25, 7&lt;25+UsefulLife), AA2/UsefulLife, 0)</f>
        <v>0</v>
      </c>
      <c r="J29" s="7">
        <f>IF(AND(8&gt;=25, 8&lt;25+UsefulLife), AA2/UsefulLife, 0)</f>
        <v>0</v>
      </c>
      <c r="K29" s="7">
        <f>IF(AND(9&gt;=25, 9&lt;25+UsefulLife), AA2/UsefulLife, 0)</f>
        <v>0</v>
      </c>
      <c r="L29" s="7">
        <f>IF(AND(10&gt;=25, 10&lt;25+UsefulLife), AA2/UsefulLife, 0)</f>
        <v>0</v>
      </c>
      <c r="M29" s="7">
        <f>IF(AND(11&gt;=25, 11&lt;25+UsefulLife), AA2/UsefulLife, 0)</f>
        <v>0</v>
      </c>
      <c r="N29" s="7">
        <f>IF(AND(12&gt;=25, 12&lt;25+UsefulLife), AA2/UsefulLife, 0)</f>
        <v>0</v>
      </c>
      <c r="O29" s="7">
        <f>IF(AND(13&gt;=25, 13&lt;25+UsefulLife), AA2/UsefulLife, 0)</f>
        <v>0</v>
      </c>
      <c r="P29" s="7">
        <f>IF(AND(14&gt;=25, 14&lt;25+UsefulLife), AA2/UsefulLife, 0)</f>
        <v>0</v>
      </c>
      <c r="Q29" s="7">
        <f>IF(AND(15&gt;=25, 15&lt;25+UsefulLife), AA2/UsefulLife, 0)</f>
        <v>0</v>
      </c>
      <c r="R29" s="7">
        <f>IF(AND(16&gt;=25, 16&lt;25+UsefulLife), AA2/UsefulLife, 0)</f>
        <v>0</v>
      </c>
      <c r="S29" s="7">
        <f>IF(AND(17&gt;=25, 17&lt;25+UsefulLife), AA2/UsefulLife, 0)</f>
        <v>0</v>
      </c>
      <c r="T29" s="7">
        <f>IF(AND(18&gt;=25, 18&lt;25+UsefulLife), AA2/UsefulLife, 0)</f>
        <v>0</v>
      </c>
      <c r="U29" s="7">
        <f>IF(AND(19&gt;=25, 19&lt;25+UsefulLife), AA2/UsefulLife, 0)</f>
        <v>0</v>
      </c>
      <c r="V29" s="7">
        <f>IF(AND(20&gt;=25, 20&lt;25+UsefulLife), AA2/UsefulLife, 0)</f>
        <v>0</v>
      </c>
      <c r="W29" s="7">
        <f>IF(AND(21&gt;=25, 21&lt;25+UsefulLife), AA2/UsefulLife, 0)</f>
        <v>0</v>
      </c>
      <c r="X29" s="7">
        <f>IF(AND(22&gt;=25, 22&lt;25+UsefulLife), AA2/UsefulLife, 0)</f>
        <v>0</v>
      </c>
      <c r="Y29" s="7">
        <f>IF(AND(23&gt;=25, 23&lt;25+UsefulLife), AA2/UsefulLife, 0)</f>
        <v>0</v>
      </c>
      <c r="Z29" s="7">
        <f>IF(AND(24&gt;=25, 24&lt;25+UsefulLife), AA2/UsefulLife, 0)</f>
        <v>0</v>
      </c>
      <c r="AA29" s="7">
        <f>IF(AND(25&gt;=25, 25&lt;25+UsefulLife), AA2/UsefulLife, 0)</f>
        <v>0</v>
      </c>
      <c r="AB29" s="7">
        <f>IF(AND(26&gt;=25, 26&lt;25+UsefulLife), AA2/UsefulLife, 0)</f>
        <v>0</v>
      </c>
      <c r="AC29" s="7">
        <f>IF(AND(27&gt;=25, 27&lt;25+UsefulLife), AA2/UsefulLife, 0)</f>
        <v>0</v>
      </c>
      <c r="AD29" s="7">
        <f>IF(AND(28&gt;=25, 28&lt;25+UsefulLife), AA2/UsefulLife, 0)</f>
        <v>0</v>
      </c>
      <c r="AE29" s="7">
        <f>IF(AND(29&gt;=25, 29&lt;25+UsefulLife), AA2/UsefulLife, 0)</f>
        <v>0</v>
      </c>
      <c r="AF29" s="7">
        <f>IF(AND(30&gt;=25, 30&lt;25+UsefulLife), AA2/UsefulLife, 0)</f>
        <v>0</v>
      </c>
      <c r="AG29" s="7">
        <f>IF(AND(31&gt;=25, 31&lt;25+UsefulLife), AA2/UsefulLife, 0)</f>
        <v>0</v>
      </c>
      <c r="AH29" s="7">
        <f>IF(AND(32&gt;=25, 32&lt;25+UsefulLife), AA2/UsefulLife, 0)</f>
        <v>0</v>
      </c>
      <c r="AI29" s="7">
        <f>IF(AND(33&gt;=25, 33&lt;25+UsefulLife), AA2/UsefulLife, 0)</f>
        <v>0</v>
      </c>
      <c r="AJ29" s="7">
        <f>IF(AND(34&gt;=25, 34&lt;25+UsefulLife), AA2/UsefulLife, 0)</f>
        <v>0</v>
      </c>
      <c r="AK29" s="7">
        <f>IF(AND(35&gt;=25, 35&lt;25+UsefulLife), AA2/UsefulLife, 0)</f>
        <v>0</v>
      </c>
    </row>
    <row r="30" spans="1:37">
      <c r="A30" s="3" t="s">
        <v>116</v>
      </c>
      <c r="B30" s="7">
        <f>IF(AND(0&gt;=26, 0&lt;26+UsefulLife), AB2/UsefulLife, 0)</f>
        <v>0</v>
      </c>
      <c r="C30" s="7">
        <f>IF(AND(1&gt;=26, 1&lt;26+UsefulLife), AB2/UsefulLife, 0)</f>
        <v>0</v>
      </c>
      <c r="D30" s="7">
        <f>IF(AND(2&gt;=26, 2&lt;26+UsefulLife), AB2/UsefulLife, 0)</f>
        <v>0</v>
      </c>
      <c r="E30" s="7">
        <f>IF(AND(3&gt;=26, 3&lt;26+UsefulLife), AB2/UsefulLife, 0)</f>
        <v>0</v>
      </c>
      <c r="F30" s="7">
        <f>IF(AND(4&gt;=26, 4&lt;26+UsefulLife), AB2/UsefulLife, 0)</f>
        <v>0</v>
      </c>
      <c r="G30" s="7">
        <f>IF(AND(5&gt;=26, 5&lt;26+UsefulLife), AB2/UsefulLife, 0)</f>
        <v>0</v>
      </c>
      <c r="H30" s="7">
        <f>IF(AND(6&gt;=26, 6&lt;26+UsefulLife), AB2/UsefulLife, 0)</f>
        <v>0</v>
      </c>
      <c r="I30" s="7">
        <f>IF(AND(7&gt;=26, 7&lt;26+UsefulLife), AB2/UsefulLife, 0)</f>
        <v>0</v>
      </c>
      <c r="J30" s="7">
        <f>IF(AND(8&gt;=26, 8&lt;26+UsefulLife), AB2/UsefulLife, 0)</f>
        <v>0</v>
      </c>
      <c r="K30" s="7">
        <f>IF(AND(9&gt;=26, 9&lt;26+UsefulLife), AB2/UsefulLife, 0)</f>
        <v>0</v>
      </c>
      <c r="L30" s="7">
        <f>IF(AND(10&gt;=26, 10&lt;26+UsefulLife), AB2/UsefulLife, 0)</f>
        <v>0</v>
      </c>
      <c r="M30" s="7">
        <f>IF(AND(11&gt;=26, 11&lt;26+UsefulLife), AB2/UsefulLife, 0)</f>
        <v>0</v>
      </c>
      <c r="N30" s="7">
        <f>IF(AND(12&gt;=26, 12&lt;26+UsefulLife), AB2/UsefulLife, 0)</f>
        <v>0</v>
      </c>
      <c r="O30" s="7">
        <f>IF(AND(13&gt;=26, 13&lt;26+UsefulLife), AB2/UsefulLife, 0)</f>
        <v>0</v>
      </c>
      <c r="P30" s="7">
        <f>IF(AND(14&gt;=26, 14&lt;26+UsefulLife), AB2/UsefulLife, 0)</f>
        <v>0</v>
      </c>
      <c r="Q30" s="7">
        <f>IF(AND(15&gt;=26, 15&lt;26+UsefulLife), AB2/UsefulLife, 0)</f>
        <v>0</v>
      </c>
      <c r="R30" s="7">
        <f>IF(AND(16&gt;=26, 16&lt;26+UsefulLife), AB2/UsefulLife, 0)</f>
        <v>0</v>
      </c>
      <c r="S30" s="7">
        <f>IF(AND(17&gt;=26, 17&lt;26+UsefulLife), AB2/UsefulLife, 0)</f>
        <v>0</v>
      </c>
      <c r="T30" s="7">
        <f>IF(AND(18&gt;=26, 18&lt;26+UsefulLife), AB2/UsefulLife, 0)</f>
        <v>0</v>
      </c>
      <c r="U30" s="7">
        <f>IF(AND(19&gt;=26, 19&lt;26+UsefulLife), AB2/UsefulLife, 0)</f>
        <v>0</v>
      </c>
      <c r="V30" s="7">
        <f>IF(AND(20&gt;=26, 20&lt;26+UsefulLife), AB2/UsefulLife, 0)</f>
        <v>0</v>
      </c>
      <c r="W30" s="7">
        <f>IF(AND(21&gt;=26, 21&lt;26+UsefulLife), AB2/UsefulLife, 0)</f>
        <v>0</v>
      </c>
      <c r="X30" s="7">
        <f>IF(AND(22&gt;=26, 22&lt;26+UsefulLife), AB2/UsefulLife, 0)</f>
        <v>0</v>
      </c>
      <c r="Y30" s="7">
        <f>IF(AND(23&gt;=26, 23&lt;26+UsefulLife), AB2/UsefulLife, 0)</f>
        <v>0</v>
      </c>
      <c r="Z30" s="7">
        <f>IF(AND(24&gt;=26, 24&lt;26+UsefulLife), AB2/UsefulLife, 0)</f>
        <v>0</v>
      </c>
      <c r="AA30" s="7">
        <f>IF(AND(25&gt;=26, 25&lt;26+UsefulLife), AB2/UsefulLife, 0)</f>
        <v>0</v>
      </c>
      <c r="AB30" s="7">
        <f>IF(AND(26&gt;=26, 26&lt;26+UsefulLife), AB2/UsefulLife, 0)</f>
        <v>0</v>
      </c>
      <c r="AC30" s="7">
        <f>IF(AND(27&gt;=26, 27&lt;26+UsefulLife), AB2/UsefulLife, 0)</f>
        <v>0</v>
      </c>
      <c r="AD30" s="7">
        <f>IF(AND(28&gt;=26, 28&lt;26+UsefulLife), AB2/UsefulLife, 0)</f>
        <v>0</v>
      </c>
      <c r="AE30" s="7">
        <f>IF(AND(29&gt;=26, 29&lt;26+UsefulLife), AB2/UsefulLife, 0)</f>
        <v>0</v>
      </c>
      <c r="AF30" s="7">
        <f>IF(AND(30&gt;=26, 30&lt;26+UsefulLife), AB2/UsefulLife, 0)</f>
        <v>0</v>
      </c>
      <c r="AG30" s="7">
        <f>IF(AND(31&gt;=26, 31&lt;26+UsefulLife), AB2/UsefulLife, 0)</f>
        <v>0</v>
      </c>
      <c r="AH30" s="7">
        <f>IF(AND(32&gt;=26, 32&lt;26+UsefulLife), AB2/UsefulLife, 0)</f>
        <v>0</v>
      </c>
      <c r="AI30" s="7">
        <f>IF(AND(33&gt;=26, 33&lt;26+UsefulLife), AB2/UsefulLife, 0)</f>
        <v>0</v>
      </c>
      <c r="AJ30" s="7">
        <f>IF(AND(34&gt;=26, 34&lt;26+UsefulLife), AB2/UsefulLife, 0)</f>
        <v>0</v>
      </c>
      <c r="AK30" s="7">
        <f>IF(AND(35&gt;=26, 35&lt;26+UsefulLife), AB2/UsefulLife, 0)</f>
        <v>0</v>
      </c>
    </row>
    <row r="31" spans="1:37">
      <c r="A31" s="3" t="s">
        <v>117</v>
      </c>
      <c r="B31" s="7">
        <f>IF(AND(0&gt;=27, 0&lt;27+UsefulLife), AC2/UsefulLife, 0)</f>
        <v>0</v>
      </c>
      <c r="C31" s="7">
        <f>IF(AND(1&gt;=27, 1&lt;27+UsefulLife), AC2/UsefulLife, 0)</f>
        <v>0</v>
      </c>
      <c r="D31" s="7">
        <f>IF(AND(2&gt;=27, 2&lt;27+UsefulLife), AC2/UsefulLife, 0)</f>
        <v>0</v>
      </c>
      <c r="E31" s="7">
        <f>IF(AND(3&gt;=27, 3&lt;27+UsefulLife), AC2/UsefulLife, 0)</f>
        <v>0</v>
      </c>
      <c r="F31" s="7">
        <f>IF(AND(4&gt;=27, 4&lt;27+UsefulLife), AC2/UsefulLife, 0)</f>
        <v>0</v>
      </c>
      <c r="G31" s="7">
        <f>IF(AND(5&gt;=27, 5&lt;27+UsefulLife), AC2/UsefulLife, 0)</f>
        <v>0</v>
      </c>
      <c r="H31" s="7">
        <f>IF(AND(6&gt;=27, 6&lt;27+UsefulLife), AC2/UsefulLife, 0)</f>
        <v>0</v>
      </c>
      <c r="I31" s="7">
        <f>IF(AND(7&gt;=27, 7&lt;27+UsefulLife), AC2/UsefulLife, 0)</f>
        <v>0</v>
      </c>
      <c r="J31" s="7">
        <f>IF(AND(8&gt;=27, 8&lt;27+UsefulLife), AC2/UsefulLife, 0)</f>
        <v>0</v>
      </c>
      <c r="K31" s="7">
        <f>IF(AND(9&gt;=27, 9&lt;27+UsefulLife), AC2/UsefulLife, 0)</f>
        <v>0</v>
      </c>
      <c r="L31" s="7">
        <f>IF(AND(10&gt;=27, 10&lt;27+UsefulLife), AC2/UsefulLife, 0)</f>
        <v>0</v>
      </c>
      <c r="M31" s="7">
        <f>IF(AND(11&gt;=27, 11&lt;27+UsefulLife), AC2/UsefulLife, 0)</f>
        <v>0</v>
      </c>
      <c r="N31" s="7">
        <f>IF(AND(12&gt;=27, 12&lt;27+UsefulLife), AC2/UsefulLife, 0)</f>
        <v>0</v>
      </c>
      <c r="O31" s="7">
        <f>IF(AND(13&gt;=27, 13&lt;27+UsefulLife), AC2/UsefulLife, 0)</f>
        <v>0</v>
      </c>
      <c r="P31" s="7">
        <f>IF(AND(14&gt;=27, 14&lt;27+UsefulLife), AC2/UsefulLife, 0)</f>
        <v>0</v>
      </c>
      <c r="Q31" s="7">
        <f>IF(AND(15&gt;=27, 15&lt;27+UsefulLife), AC2/UsefulLife, 0)</f>
        <v>0</v>
      </c>
      <c r="R31" s="7">
        <f>IF(AND(16&gt;=27, 16&lt;27+UsefulLife), AC2/UsefulLife, 0)</f>
        <v>0</v>
      </c>
      <c r="S31" s="7">
        <f>IF(AND(17&gt;=27, 17&lt;27+UsefulLife), AC2/UsefulLife, 0)</f>
        <v>0</v>
      </c>
      <c r="T31" s="7">
        <f>IF(AND(18&gt;=27, 18&lt;27+UsefulLife), AC2/UsefulLife, 0)</f>
        <v>0</v>
      </c>
      <c r="U31" s="7">
        <f>IF(AND(19&gt;=27, 19&lt;27+UsefulLife), AC2/UsefulLife, 0)</f>
        <v>0</v>
      </c>
      <c r="V31" s="7">
        <f>IF(AND(20&gt;=27, 20&lt;27+UsefulLife), AC2/UsefulLife, 0)</f>
        <v>0</v>
      </c>
      <c r="W31" s="7">
        <f>IF(AND(21&gt;=27, 21&lt;27+UsefulLife), AC2/UsefulLife, 0)</f>
        <v>0</v>
      </c>
      <c r="X31" s="7">
        <f>IF(AND(22&gt;=27, 22&lt;27+UsefulLife), AC2/UsefulLife, 0)</f>
        <v>0</v>
      </c>
      <c r="Y31" s="7">
        <f>IF(AND(23&gt;=27, 23&lt;27+UsefulLife), AC2/UsefulLife, 0)</f>
        <v>0</v>
      </c>
      <c r="Z31" s="7">
        <f>IF(AND(24&gt;=27, 24&lt;27+UsefulLife), AC2/UsefulLife, 0)</f>
        <v>0</v>
      </c>
      <c r="AA31" s="7">
        <f>IF(AND(25&gt;=27, 25&lt;27+UsefulLife), AC2/UsefulLife, 0)</f>
        <v>0</v>
      </c>
      <c r="AB31" s="7">
        <f>IF(AND(26&gt;=27, 26&lt;27+UsefulLife), AC2/UsefulLife, 0)</f>
        <v>0</v>
      </c>
      <c r="AC31" s="7">
        <f>IF(AND(27&gt;=27, 27&lt;27+UsefulLife), AC2/UsefulLife, 0)</f>
        <v>0</v>
      </c>
      <c r="AD31" s="7">
        <f>IF(AND(28&gt;=27, 28&lt;27+UsefulLife), AC2/UsefulLife, 0)</f>
        <v>0</v>
      </c>
      <c r="AE31" s="7">
        <f>IF(AND(29&gt;=27, 29&lt;27+UsefulLife), AC2/UsefulLife, 0)</f>
        <v>0</v>
      </c>
      <c r="AF31" s="7">
        <f>IF(AND(30&gt;=27, 30&lt;27+UsefulLife), AC2/UsefulLife, 0)</f>
        <v>0</v>
      </c>
      <c r="AG31" s="7">
        <f>IF(AND(31&gt;=27, 31&lt;27+UsefulLife), AC2/UsefulLife, 0)</f>
        <v>0</v>
      </c>
      <c r="AH31" s="7">
        <f>IF(AND(32&gt;=27, 32&lt;27+UsefulLife), AC2/UsefulLife, 0)</f>
        <v>0</v>
      </c>
      <c r="AI31" s="7">
        <f>IF(AND(33&gt;=27, 33&lt;27+UsefulLife), AC2/UsefulLife, 0)</f>
        <v>0</v>
      </c>
      <c r="AJ31" s="7">
        <f>IF(AND(34&gt;=27, 34&lt;27+UsefulLife), AC2/UsefulLife, 0)</f>
        <v>0</v>
      </c>
      <c r="AK31" s="7">
        <f>IF(AND(35&gt;=27, 35&lt;27+UsefulLife), AC2/UsefulLife, 0)</f>
        <v>0</v>
      </c>
    </row>
    <row r="32" spans="1:37">
      <c r="A32" s="3" t="s">
        <v>118</v>
      </c>
      <c r="B32" s="7">
        <f>IF(AND(0&gt;=28, 0&lt;28+UsefulLife), AD2/UsefulLife, 0)</f>
        <v>0</v>
      </c>
      <c r="C32" s="7">
        <f>IF(AND(1&gt;=28, 1&lt;28+UsefulLife), AD2/UsefulLife, 0)</f>
        <v>0</v>
      </c>
      <c r="D32" s="7">
        <f>IF(AND(2&gt;=28, 2&lt;28+UsefulLife), AD2/UsefulLife, 0)</f>
        <v>0</v>
      </c>
      <c r="E32" s="7">
        <f>IF(AND(3&gt;=28, 3&lt;28+UsefulLife), AD2/UsefulLife, 0)</f>
        <v>0</v>
      </c>
      <c r="F32" s="7">
        <f>IF(AND(4&gt;=28, 4&lt;28+UsefulLife), AD2/UsefulLife, 0)</f>
        <v>0</v>
      </c>
      <c r="G32" s="7">
        <f>IF(AND(5&gt;=28, 5&lt;28+UsefulLife), AD2/UsefulLife, 0)</f>
        <v>0</v>
      </c>
      <c r="H32" s="7">
        <f>IF(AND(6&gt;=28, 6&lt;28+UsefulLife), AD2/UsefulLife, 0)</f>
        <v>0</v>
      </c>
      <c r="I32" s="7">
        <f>IF(AND(7&gt;=28, 7&lt;28+UsefulLife), AD2/UsefulLife, 0)</f>
        <v>0</v>
      </c>
      <c r="J32" s="7">
        <f>IF(AND(8&gt;=28, 8&lt;28+UsefulLife), AD2/UsefulLife, 0)</f>
        <v>0</v>
      </c>
      <c r="K32" s="7">
        <f>IF(AND(9&gt;=28, 9&lt;28+UsefulLife), AD2/UsefulLife, 0)</f>
        <v>0</v>
      </c>
      <c r="L32" s="7">
        <f>IF(AND(10&gt;=28, 10&lt;28+UsefulLife), AD2/UsefulLife, 0)</f>
        <v>0</v>
      </c>
      <c r="M32" s="7">
        <f>IF(AND(11&gt;=28, 11&lt;28+UsefulLife), AD2/UsefulLife, 0)</f>
        <v>0</v>
      </c>
      <c r="N32" s="7">
        <f>IF(AND(12&gt;=28, 12&lt;28+UsefulLife), AD2/UsefulLife, 0)</f>
        <v>0</v>
      </c>
      <c r="O32" s="7">
        <f>IF(AND(13&gt;=28, 13&lt;28+UsefulLife), AD2/UsefulLife, 0)</f>
        <v>0</v>
      </c>
      <c r="P32" s="7">
        <f>IF(AND(14&gt;=28, 14&lt;28+UsefulLife), AD2/UsefulLife, 0)</f>
        <v>0</v>
      </c>
      <c r="Q32" s="7">
        <f>IF(AND(15&gt;=28, 15&lt;28+UsefulLife), AD2/UsefulLife, 0)</f>
        <v>0</v>
      </c>
      <c r="R32" s="7">
        <f>IF(AND(16&gt;=28, 16&lt;28+UsefulLife), AD2/UsefulLife, 0)</f>
        <v>0</v>
      </c>
      <c r="S32" s="7">
        <f>IF(AND(17&gt;=28, 17&lt;28+UsefulLife), AD2/UsefulLife, 0)</f>
        <v>0</v>
      </c>
      <c r="T32" s="7">
        <f>IF(AND(18&gt;=28, 18&lt;28+UsefulLife), AD2/UsefulLife, 0)</f>
        <v>0</v>
      </c>
      <c r="U32" s="7">
        <f>IF(AND(19&gt;=28, 19&lt;28+UsefulLife), AD2/UsefulLife, 0)</f>
        <v>0</v>
      </c>
      <c r="V32" s="7">
        <f>IF(AND(20&gt;=28, 20&lt;28+UsefulLife), AD2/UsefulLife, 0)</f>
        <v>0</v>
      </c>
      <c r="W32" s="7">
        <f>IF(AND(21&gt;=28, 21&lt;28+UsefulLife), AD2/UsefulLife, 0)</f>
        <v>0</v>
      </c>
      <c r="X32" s="7">
        <f>IF(AND(22&gt;=28, 22&lt;28+UsefulLife), AD2/UsefulLife, 0)</f>
        <v>0</v>
      </c>
      <c r="Y32" s="7">
        <f>IF(AND(23&gt;=28, 23&lt;28+UsefulLife), AD2/UsefulLife, 0)</f>
        <v>0</v>
      </c>
      <c r="Z32" s="7">
        <f>IF(AND(24&gt;=28, 24&lt;28+UsefulLife), AD2/UsefulLife, 0)</f>
        <v>0</v>
      </c>
      <c r="AA32" s="7">
        <f>IF(AND(25&gt;=28, 25&lt;28+UsefulLife), AD2/UsefulLife, 0)</f>
        <v>0</v>
      </c>
      <c r="AB32" s="7">
        <f>IF(AND(26&gt;=28, 26&lt;28+UsefulLife), AD2/UsefulLife, 0)</f>
        <v>0</v>
      </c>
      <c r="AC32" s="7">
        <f>IF(AND(27&gt;=28, 27&lt;28+UsefulLife), AD2/UsefulLife, 0)</f>
        <v>0</v>
      </c>
      <c r="AD32" s="7">
        <f>IF(AND(28&gt;=28, 28&lt;28+UsefulLife), AD2/UsefulLife, 0)</f>
        <v>0</v>
      </c>
      <c r="AE32" s="7">
        <f>IF(AND(29&gt;=28, 29&lt;28+UsefulLife), AD2/UsefulLife, 0)</f>
        <v>0</v>
      </c>
      <c r="AF32" s="7">
        <f>IF(AND(30&gt;=28, 30&lt;28+UsefulLife), AD2/UsefulLife, 0)</f>
        <v>0</v>
      </c>
      <c r="AG32" s="7">
        <f>IF(AND(31&gt;=28, 31&lt;28+UsefulLife), AD2/UsefulLife, 0)</f>
        <v>0</v>
      </c>
      <c r="AH32" s="7">
        <f>IF(AND(32&gt;=28, 32&lt;28+UsefulLife), AD2/UsefulLife, 0)</f>
        <v>0</v>
      </c>
      <c r="AI32" s="7">
        <f>IF(AND(33&gt;=28, 33&lt;28+UsefulLife), AD2/UsefulLife, 0)</f>
        <v>0</v>
      </c>
      <c r="AJ32" s="7">
        <f>IF(AND(34&gt;=28, 34&lt;28+UsefulLife), AD2/UsefulLife, 0)</f>
        <v>0</v>
      </c>
      <c r="AK32" s="7">
        <f>IF(AND(35&gt;=28, 35&lt;28+UsefulLife), AD2/UsefulLife, 0)</f>
        <v>0</v>
      </c>
    </row>
    <row r="33" spans="1:37">
      <c r="A33" s="3" t="s">
        <v>119</v>
      </c>
      <c r="B33" s="7">
        <f>IF(AND(0&gt;=29, 0&lt;29+UsefulLife), AE2/UsefulLife, 0)</f>
        <v>0</v>
      </c>
      <c r="C33" s="7">
        <f>IF(AND(1&gt;=29, 1&lt;29+UsefulLife), AE2/UsefulLife, 0)</f>
        <v>0</v>
      </c>
      <c r="D33" s="7">
        <f>IF(AND(2&gt;=29, 2&lt;29+UsefulLife), AE2/UsefulLife, 0)</f>
        <v>0</v>
      </c>
      <c r="E33" s="7">
        <f>IF(AND(3&gt;=29, 3&lt;29+UsefulLife), AE2/UsefulLife, 0)</f>
        <v>0</v>
      </c>
      <c r="F33" s="7">
        <f>IF(AND(4&gt;=29, 4&lt;29+UsefulLife), AE2/UsefulLife, 0)</f>
        <v>0</v>
      </c>
      <c r="G33" s="7">
        <f>IF(AND(5&gt;=29, 5&lt;29+UsefulLife), AE2/UsefulLife, 0)</f>
        <v>0</v>
      </c>
      <c r="H33" s="7">
        <f>IF(AND(6&gt;=29, 6&lt;29+UsefulLife), AE2/UsefulLife, 0)</f>
        <v>0</v>
      </c>
      <c r="I33" s="7">
        <f>IF(AND(7&gt;=29, 7&lt;29+UsefulLife), AE2/UsefulLife, 0)</f>
        <v>0</v>
      </c>
      <c r="J33" s="7">
        <f>IF(AND(8&gt;=29, 8&lt;29+UsefulLife), AE2/UsefulLife, 0)</f>
        <v>0</v>
      </c>
      <c r="K33" s="7">
        <f>IF(AND(9&gt;=29, 9&lt;29+UsefulLife), AE2/UsefulLife, 0)</f>
        <v>0</v>
      </c>
      <c r="L33" s="7">
        <f>IF(AND(10&gt;=29, 10&lt;29+UsefulLife), AE2/UsefulLife, 0)</f>
        <v>0</v>
      </c>
      <c r="M33" s="7">
        <f>IF(AND(11&gt;=29, 11&lt;29+UsefulLife), AE2/UsefulLife, 0)</f>
        <v>0</v>
      </c>
      <c r="N33" s="7">
        <f>IF(AND(12&gt;=29, 12&lt;29+UsefulLife), AE2/UsefulLife, 0)</f>
        <v>0</v>
      </c>
      <c r="O33" s="7">
        <f>IF(AND(13&gt;=29, 13&lt;29+UsefulLife), AE2/UsefulLife, 0)</f>
        <v>0</v>
      </c>
      <c r="P33" s="7">
        <f>IF(AND(14&gt;=29, 14&lt;29+UsefulLife), AE2/UsefulLife, 0)</f>
        <v>0</v>
      </c>
      <c r="Q33" s="7">
        <f>IF(AND(15&gt;=29, 15&lt;29+UsefulLife), AE2/UsefulLife, 0)</f>
        <v>0</v>
      </c>
      <c r="R33" s="7">
        <f>IF(AND(16&gt;=29, 16&lt;29+UsefulLife), AE2/UsefulLife, 0)</f>
        <v>0</v>
      </c>
      <c r="S33" s="7">
        <f>IF(AND(17&gt;=29, 17&lt;29+UsefulLife), AE2/UsefulLife, 0)</f>
        <v>0</v>
      </c>
      <c r="T33" s="7">
        <f>IF(AND(18&gt;=29, 18&lt;29+UsefulLife), AE2/UsefulLife, 0)</f>
        <v>0</v>
      </c>
      <c r="U33" s="7">
        <f>IF(AND(19&gt;=29, 19&lt;29+UsefulLife), AE2/UsefulLife, 0)</f>
        <v>0</v>
      </c>
      <c r="V33" s="7">
        <f>IF(AND(20&gt;=29, 20&lt;29+UsefulLife), AE2/UsefulLife, 0)</f>
        <v>0</v>
      </c>
      <c r="W33" s="7">
        <f>IF(AND(21&gt;=29, 21&lt;29+UsefulLife), AE2/UsefulLife, 0)</f>
        <v>0</v>
      </c>
      <c r="X33" s="7">
        <f>IF(AND(22&gt;=29, 22&lt;29+UsefulLife), AE2/UsefulLife, 0)</f>
        <v>0</v>
      </c>
      <c r="Y33" s="7">
        <f>IF(AND(23&gt;=29, 23&lt;29+UsefulLife), AE2/UsefulLife, 0)</f>
        <v>0</v>
      </c>
      <c r="Z33" s="7">
        <f>IF(AND(24&gt;=29, 24&lt;29+UsefulLife), AE2/UsefulLife, 0)</f>
        <v>0</v>
      </c>
      <c r="AA33" s="7">
        <f>IF(AND(25&gt;=29, 25&lt;29+UsefulLife), AE2/UsefulLife, 0)</f>
        <v>0</v>
      </c>
      <c r="AB33" s="7">
        <f>IF(AND(26&gt;=29, 26&lt;29+UsefulLife), AE2/UsefulLife, 0)</f>
        <v>0</v>
      </c>
      <c r="AC33" s="7">
        <f>IF(AND(27&gt;=29, 27&lt;29+UsefulLife), AE2/UsefulLife, 0)</f>
        <v>0</v>
      </c>
      <c r="AD33" s="7">
        <f>IF(AND(28&gt;=29, 28&lt;29+UsefulLife), AE2/UsefulLife, 0)</f>
        <v>0</v>
      </c>
      <c r="AE33" s="7">
        <f>IF(AND(29&gt;=29, 29&lt;29+UsefulLife), AE2/UsefulLife, 0)</f>
        <v>0</v>
      </c>
      <c r="AF33" s="7">
        <f>IF(AND(30&gt;=29, 30&lt;29+UsefulLife), AE2/UsefulLife, 0)</f>
        <v>0</v>
      </c>
      <c r="AG33" s="7">
        <f>IF(AND(31&gt;=29, 31&lt;29+UsefulLife), AE2/UsefulLife, 0)</f>
        <v>0</v>
      </c>
      <c r="AH33" s="7">
        <f>IF(AND(32&gt;=29, 32&lt;29+UsefulLife), AE2/UsefulLife, 0)</f>
        <v>0</v>
      </c>
      <c r="AI33" s="7">
        <f>IF(AND(33&gt;=29, 33&lt;29+UsefulLife), AE2/UsefulLife, 0)</f>
        <v>0</v>
      </c>
      <c r="AJ33" s="7">
        <f>IF(AND(34&gt;=29, 34&lt;29+UsefulLife), AE2/UsefulLife, 0)</f>
        <v>0</v>
      </c>
      <c r="AK33" s="7">
        <f>IF(AND(35&gt;=29, 35&lt;29+UsefulLife), AE2/UsefulLife, 0)</f>
        <v>0</v>
      </c>
    </row>
    <row r="34" spans="1:37">
      <c r="A34" s="3" t="s">
        <v>120</v>
      </c>
      <c r="B34" s="7">
        <f>IF(AND(0&gt;=30, 0&lt;30+UsefulLife), AF2/UsefulLife, 0)</f>
        <v>0</v>
      </c>
      <c r="C34" s="7">
        <f>IF(AND(1&gt;=30, 1&lt;30+UsefulLife), AF2/UsefulLife, 0)</f>
        <v>0</v>
      </c>
      <c r="D34" s="7">
        <f>IF(AND(2&gt;=30, 2&lt;30+UsefulLife), AF2/UsefulLife, 0)</f>
        <v>0</v>
      </c>
      <c r="E34" s="7">
        <f>IF(AND(3&gt;=30, 3&lt;30+UsefulLife), AF2/UsefulLife, 0)</f>
        <v>0</v>
      </c>
      <c r="F34" s="7">
        <f>IF(AND(4&gt;=30, 4&lt;30+UsefulLife), AF2/UsefulLife, 0)</f>
        <v>0</v>
      </c>
      <c r="G34" s="7">
        <f>IF(AND(5&gt;=30, 5&lt;30+UsefulLife), AF2/UsefulLife, 0)</f>
        <v>0</v>
      </c>
      <c r="H34" s="7">
        <f>IF(AND(6&gt;=30, 6&lt;30+UsefulLife), AF2/UsefulLife, 0)</f>
        <v>0</v>
      </c>
      <c r="I34" s="7">
        <f>IF(AND(7&gt;=30, 7&lt;30+UsefulLife), AF2/UsefulLife, 0)</f>
        <v>0</v>
      </c>
      <c r="J34" s="7">
        <f>IF(AND(8&gt;=30, 8&lt;30+UsefulLife), AF2/UsefulLife, 0)</f>
        <v>0</v>
      </c>
      <c r="K34" s="7">
        <f>IF(AND(9&gt;=30, 9&lt;30+UsefulLife), AF2/UsefulLife, 0)</f>
        <v>0</v>
      </c>
      <c r="L34" s="7">
        <f>IF(AND(10&gt;=30, 10&lt;30+UsefulLife), AF2/UsefulLife, 0)</f>
        <v>0</v>
      </c>
      <c r="M34" s="7">
        <f>IF(AND(11&gt;=30, 11&lt;30+UsefulLife), AF2/UsefulLife, 0)</f>
        <v>0</v>
      </c>
      <c r="N34" s="7">
        <f>IF(AND(12&gt;=30, 12&lt;30+UsefulLife), AF2/UsefulLife, 0)</f>
        <v>0</v>
      </c>
      <c r="O34" s="7">
        <f>IF(AND(13&gt;=30, 13&lt;30+UsefulLife), AF2/UsefulLife, 0)</f>
        <v>0</v>
      </c>
      <c r="P34" s="7">
        <f>IF(AND(14&gt;=30, 14&lt;30+UsefulLife), AF2/UsefulLife, 0)</f>
        <v>0</v>
      </c>
      <c r="Q34" s="7">
        <f>IF(AND(15&gt;=30, 15&lt;30+UsefulLife), AF2/UsefulLife, 0)</f>
        <v>0</v>
      </c>
      <c r="R34" s="7">
        <f>IF(AND(16&gt;=30, 16&lt;30+UsefulLife), AF2/UsefulLife, 0)</f>
        <v>0</v>
      </c>
      <c r="S34" s="7">
        <f>IF(AND(17&gt;=30, 17&lt;30+UsefulLife), AF2/UsefulLife, 0)</f>
        <v>0</v>
      </c>
      <c r="T34" s="7">
        <f>IF(AND(18&gt;=30, 18&lt;30+UsefulLife), AF2/UsefulLife, 0)</f>
        <v>0</v>
      </c>
      <c r="U34" s="7">
        <f>IF(AND(19&gt;=30, 19&lt;30+UsefulLife), AF2/UsefulLife, 0)</f>
        <v>0</v>
      </c>
      <c r="V34" s="7">
        <f>IF(AND(20&gt;=30, 20&lt;30+UsefulLife), AF2/UsefulLife, 0)</f>
        <v>0</v>
      </c>
      <c r="W34" s="7">
        <f>IF(AND(21&gt;=30, 21&lt;30+UsefulLife), AF2/UsefulLife, 0)</f>
        <v>0</v>
      </c>
      <c r="X34" s="7">
        <f>IF(AND(22&gt;=30, 22&lt;30+UsefulLife), AF2/UsefulLife, 0)</f>
        <v>0</v>
      </c>
      <c r="Y34" s="7">
        <f>IF(AND(23&gt;=30, 23&lt;30+UsefulLife), AF2/UsefulLife, 0)</f>
        <v>0</v>
      </c>
      <c r="Z34" s="7">
        <f>IF(AND(24&gt;=30, 24&lt;30+UsefulLife), AF2/UsefulLife, 0)</f>
        <v>0</v>
      </c>
      <c r="AA34" s="7">
        <f>IF(AND(25&gt;=30, 25&lt;30+UsefulLife), AF2/UsefulLife, 0)</f>
        <v>0</v>
      </c>
      <c r="AB34" s="7">
        <f>IF(AND(26&gt;=30, 26&lt;30+UsefulLife), AF2/UsefulLife, 0)</f>
        <v>0</v>
      </c>
      <c r="AC34" s="7">
        <f>IF(AND(27&gt;=30, 27&lt;30+UsefulLife), AF2/UsefulLife, 0)</f>
        <v>0</v>
      </c>
      <c r="AD34" s="7">
        <f>IF(AND(28&gt;=30, 28&lt;30+UsefulLife), AF2/UsefulLife, 0)</f>
        <v>0</v>
      </c>
      <c r="AE34" s="7">
        <f>IF(AND(29&gt;=30, 29&lt;30+UsefulLife), AF2/UsefulLife, 0)</f>
        <v>0</v>
      </c>
      <c r="AF34" s="7">
        <f>IF(AND(30&gt;=30, 30&lt;30+UsefulLife), AF2/UsefulLife, 0)</f>
        <v>0</v>
      </c>
      <c r="AG34" s="7">
        <f>IF(AND(31&gt;=30, 31&lt;30+UsefulLife), AF2/UsefulLife, 0)</f>
        <v>0</v>
      </c>
      <c r="AH34" s="7">
        <f>IF(AND(32&gt;=30, 32&lt;30+UsefulLife), AF2/UsefulLife, 0)</f>
        <v>0</v>
      </c>
      <c r="AI34" s="7">
        <f>IF(AND(33&gt;=30, 33&lt;30+UsefulLife), AF2/UsefulLife, 0)</f>
        <v>0</v>
      </c>
      <c r="AJ34" s="7">
        <f>IF(AND(34&gt;=30, 34&lt;30+UsefulLife), AF2/UsefulLife, 0)</f>
        <v>0</v>
      </c>
      <c r="AK34" s="7">
        <f>IF(AND(35&gt;=30, 35&lt;30+UsefulLife), AF2/UsefulLife, 0)</f>
        <v>0</v>
      </c>
    </row>
    <row r="35" spans="1:37">
      <c r="A35" s="3" t="s">
        <v>121</v>
      </c>
      <c r="B35" s="7">
        <f>IF(AND(0&gt;=31, 0&lt;31+UsefulLife), AG2/UsefulLife, 0)</f>
        <v>0</v>
      </c>
      <c r="C35" s="7">
        <f>IF(AND(1&gt;=31, 1&lt;31+UsefulLife), AG2/UsefulLife, 0)</f>
        <v>0</v>
      </c>
      <c r="D35" s="7">
        <f>IF(AND(2&gt;=31, 2&lt;31+UsefulLife), AG2/UsefulLife, 0)</f>
        <v>0</v>
      </c>
      <c r="E35" s="7">
        <f>IF(AND(3&gt;=31, 3&lt;31+UsefulLife), AG2/UsefulLife, 0)</f>
        <v>0</v>
      </c>
      <c r="F35" s="7">
        <f>IF(AND(4&gt;=31, 4&lt;31+UsefulLife), AG2/UsefulLife, 0)</f>
        <v>0</v>
      </c>
      <c r="G35" s="7">
        <f>IF(AND(5&gt;=31, 5&lt;31+UsefulLife), AG2/UsefulLife, 0)</f>
        <v>0</v>
      </c>
      <c r="H35" s="7">
        <f>IF(AND(6&gt;=31, 6&lt;31+UsefulLife), AG2/UsefulLife, 0)</f>
        <v>0</v>
      </c>
      <c r="I35" s="7">
        <f>IF(AND(7&gt;=31, 7&lt;31+UsefulLife), AG2/UsefulLife, 0)</f>
        <v>0</v>
      </c>
      <c r="J35" s="7">
        <f>IF(AND(8&gt;=31, 8&lt;31+UsefulLife), AG2/UsefulLife, 0)</f>
        <v>0</v>
      </c>
      <c r="K35" s="7">
        <f>IF(AND(9&gt;=31, 9&lt;31+UsefulLife), AG2/UsefulLife, 0)</f>
        <v>0</v>
      </c>
      <c r="L35" s="7">
        <f>IF(AND(10&gt;=31, 10&lt;31+UsefulLife), AG2/UsefulLife, 0)</f>
        <v>0</v>
      </c>
      <c r="M35" s="7">
        <f>IF(AND(11&gt;=31, 11&lt;31+UsefulLife), AG2/UsefulLife, 0)</f>
        <v>0</v>
      </c>
      <c r="N35" s="7">
        <f>IF(AND(12&gt;=31, 12&lt;31+UsefulLife), AG2/UsefulLife, 0)</f>
        <v>0</v>
      </c>
      <c r="O35" s="7">
        <f>IF(AND(13&gt;=31, 13&lt;31+UsefulLife), AG2/UsefulLife, 0)</f>
        <v>0</v>
      </c>
      <c r="P35" s="7">
        <f>IF(AND(14&gt;=31, 14&lt;31+UsefulLife), AG2/UsefulLife, 0)</f>
        <v>0</v>
      </c>
      <c r="Q35" s="7">
        <f>IF(AND(15&gt;=31, 15&lt;31+UsefulLife), AG2/UsefulLife, 0)</f>
        <v>0</v>
      </c>
      <c r="R35" s="7">
        <f>IF(AND(16&gt;=31, 16&lt;31+UsefulLife), AG2/UsefulLife, 0)</f>
        <v>0</v>
      </c>
      <c r="S35" s="7">
        <f>IF(AND(17&gt;=31, 17&lt;31+UsefulLife), AG2/UsefulLife, 0)</f>
        <v>0</v>
      </c>
      <c r="T35" s="7">
        <f>IF(AND(18&gt;=31, 18&lt;31+UsefulLife), AG2/UsefulLife, 0)</f>
        <v>0</v>
      </c>
      <c r="U35" s="7">
        <f>IF(AND(19&gt;=31, 19&lt;31+UsefulLife), AG2/UsefulLife, 0)</f>
        <v>0</v>
      </c>
      <c r="V35" s="7">
        <f>IF(AND(20&gt;=31, 20&lt;31+UsefulLife), AG2/UsefulLife, 0)</f>
        <v>0</v>
      </c>
      <c r="W35" s="7">
        <f>IF(AND(21&gt;=31, 21&lt;31+UsefulLife), AG2/UsefulLife, 0)</f>
        <v>0</v>
      </c>
      <c r="X35" s="7">
        <f>IF(AND(22&gt;=31, 22&lt;31+UsefulLife), AG2/UsefulLife, 0)</f>
        <v>0</v>
      </c>
      <c r="Y35" s="7">
        <f>IF(AND(23&gt;=31, 23&lt;31+UsefulLife), AG2/UsefulLife, 0)</f>
        <v>0</v>
      </c>
      <c r="Z35" s="7">
        <f>IF(AND(24&gt;=31, 24&lt;31+UsefulLife), AG2/UsefulLife, 0)</f>
        <v>0</v>
      </c>
      <c r="AA35" s="7">
        <f>IF(AND(25&gt;=31, 25&lt;31+UsefulLife), AG2/UsefulLife, 0)</f>
        <v>0</v>
      </c>
      <c r="AB35" s="7">
        <f>IF(AND(26&gt;=31, 26&lt;31+UsefulLife), AG2/UsefulLife, 0)</f>
        <v>0</v>
      </c>
      <c r="AC35" s="7">
        <f>IF(AND(27&gt;=31, 27&lt;31+UsefulLife), AG2/UsefulLife, 0)</f>
        <v>0</v>
      </c>
      <c r="AD35" s="7">
        <f>IF(AND(28&gt;=31, 28&lt;31+UsefulLife), AG2/UsefulLife, 0)</f>
        <v>0</v>
      </c>
      <c r="AE35" s="7">
        <f>IF(AND(29&gt;=31, 29&lt;31+UsefulLife), AG2/UsefulLife, 0)</f>
        <v>0</v>
      </c>
      <c r="AF35" s="7">
        <f>IF(AND(30&gt;=31, 30&lt;31+UsefulLife), AG2/UsefulLife, 0)</f>
        <v>0</v>
      </c>
      <c r="AG35" s="7">
        <f>IF(AND(31&gt;=31, 31&lt;31+UsefulLife), AG2/UsefulLife, 0)</f>
        <v>0</v>
      </c>
      <c r="AH35" s="7">
        <f>IF(AND(32&gt;=31, 32&lt;31+UsefulLife), AG2/UsefulLife, 0)</f>
        <v>0</v>
      </c>
      <c r="AI35" s="7">
        <f>IF(AND(33&gt;=31, 33&lt;31+UsefulLife), AG2/UsefulLife, 0)</f>
        <v>0</v>
      </c>
      <c r="AJ35" s="7">
        <f>IF(AND(34&gt;=31, 34&lt;31+UsefulLife), AG2/UsefulLife, 0)</f>
        <v>0</v>
      </c>
      <c r="AK35" s="7">
        <f>IF(AND(35&gt;=31, 35&lt;31+UsefulLife), AG2/UsefulLife, 0)</f>
        <v>0</v>
      </c>
    </row>
    <row r="36" spans="1:37">
      <c r="A36" s="3" t="s">
        <v>122</v>
      </c>
      <c r="B36" s="7">
        <f>IF(AND(0&gt;=32, 0&lt;32+UsefulLife), AH2/UsefulLife, 0)</f>
        <v>0</v>
      </c>
      <c r="C36" s="7">
        <f>IF(AND(1&gt;=32, 1&lt;32+UsefulLife), AH2/UsefulLife, 0)</f>
        <v>0</v>
      </c>
      <c r="D36" s="7">
        <f>IF(AND(2&gt;=32, 2&lt;32+UsefulLife), AH2/UsefulLife, 0)</f>
        <v>0</v>
      </c>
      <c r="E36" s="7">
        <f>IF(AND(3&gt;=32, 3&lt;32+UsefulLife), AH2/UsefulLife, 0)</f>
        <v>0</v>
      </c>
      <c r="F36" s="7">
        <f>IF(AND(4&gt;=32, 4&lt;32+UsefulLife), AH2/UsefulLife, 0)</f>
        <v>0</v>
      </c>
      <c r="G36" s="7">
        <f>IF(AND(5&gt;=32, 5&lt;32+UsefulLife), AH2/UsefulLife, 0)</f>
        <v>0</v>
      </c>
      <c r="H36" s="7">
        <f>IF(AND(6&gt;=32, 6&lt;32+UsefulLife), AH2/UsefulLife, 0)</f>
        <v>0</v>
      </c>
      <c r="I36" s="7">
        <f>IF(AND(7&gt;=32, 7&lt;32+UsefulLife), AH2/UsefulLife, 0)</f>
        <v>0</v>
      </c>
      <c r="J36" s="7">
        <f>IF(AND(8&gt;=32, 8&lt;32+UsefulLife), AH2/UsefulLife, 0)</f>
        <v>0</v>
      </c>
      <c r="K36" s="7">
        <f>IF(AND(9&gt;=32, 9&lt;32+UsefulLife), AH2/UsefulLife, 0)</f>
        <v>0</v>
      </c>
      <c r="L36" s="7">
        <f>IF(AND(10&gt;=32, 10&lt;32+UsefulLife), AH2/UsefulLife, 0)</f>
        <v>0</v>
      </c>
      <c r="M36" s="7">
        <f>IF(AND(11&gt;=32, 11&lt;32+UsefulLife), AH2/UsefulLife, 0)</f>
        <v>0</v>
      </c>
      <c r="N36" s="7">
        <f>IF(AND(12&gt;=32, 12&lt;32+UsefulLife), AH2/UsefulLife, 0)</f>
        <v>0</v>
      </c>
      <c r="O36" s="7">
        <f>IF(AND(13&gt;=32, 13&lt;32+UsefulLife), AH2/UsefulLife, 0)</f>
        <v>0</v>
      </c>
      <c r="P36" s="7">
        <f>IF(AND(14&gt;=32, 14&lt;32+UsefulLife), AH2/UsefulLife, 0)</f>
        <v>0</v>
      </c>
      <c r="Q36" s="7">
        <f>IF(AND(15&gt;=32, 15&lt;32+UsefulLife), AH2/UsefulLife, 0)</f>
        <v>0</v>
      </c>
      <c r="R36" s="7">
        <f>IF(AND(16&gt;=32, 16&lt;32+UsefulLife), AH2/UsefulLife, 0)</f>
        <v>0</v>
      </c>
      <c r="S36" s="7">
        <f>IF(AND(17&gt;=32, 17&lt;32+UsefulLife), AH2/UsefulLife, 0)</f>
        <v>0</v>
      </c>
      <c r="T36" s="7">
        <f>IF(AND(18&gt;=32, 18&lt;32+UsefulLife), AH2/UsefulLife, 0)</f>
        <v>0</v>
      </c>
      <c r="U36" s="7">
        <f>IF(AND(19&gt;=32, 19&lt;32+UsefulLife), AH2/UsefulLife, 0)</f>
        <v>0</v>
      </c>
      <c r="V36" s="7">
        <f>IF(AND(20&gt;=32, 20&lt;32+UsefulLife), AH2/UsefulLife, 0)</f>
        <v>0</v>
      </c>
      <c r="W36" s="7">
        <f>IF(AND(21&gt;=32, 21&lt;32+UsefulLife), AH2/UsefulLife, 0)</f>
        <v>0</v>
      </c>
      <c r="X36" s="7">
        <f>IF(AND(22&gt;=32, 22&lt;32+UsefulLife), AH2/UsefulLife, 0)</f>
        <v>0</v>
      </c>
      <c r="Y36" s="7">
        <f>IF(AND(23&gt;=32, 23&lt;32+UsefulLife), AH2/UsefulLife, 0)</f>
        <v>0</v>
      </c>
      <c r="Z36" s="7">
        <f>IF(AND(24&gt;=32, 24&lt;32+UsefulLife), AH2/UsefulLife, 0)</f>
        <v>0</v>
      </c>
      <c r="AA36" s="7">
        <f>IF(AND(25&gt;=32, 25&lt;32+UsefulLife), AH2/UsefulLife, 0)</f>
        <v>0</v>
      </c>
      <c r="AB36" s="7">
        <f>IF(AND(26&gt;=32, 26&lt;32+UsefulLife), AH2/UsefulLife, 0)</f>
        <v>0</v>
      </c>
      <c r="AC36" s="7">
        <f>IF(AND(27&gt;=32, 27&lt;32+UsefulLife), AH2/UsefulLife, 0)</f>
        <v>0</v>
      </c>
      <c r="AD36" s="7">
        <f>IF(AND(28&gt;=32, 28&lt;32+UsefulLife), AH2/UsefulLife, 0)</f>
        <v>0</v>
      </c>
      <c r="AE36" s="7">
        <f>IF(AND(29&gt;=32, 29&lt;32+UsefulLife), AH2/UsefulLife, 0)</f>
        <v>0</v>
      </c>
      <c r="AF36" s="7">
        <f>IF(AND(30&gt;=32, 30&lt;32+UsefulLife), AH2/UsefulLife, 0)</f>
        <v>0</v>
      </c>
      <c r="AG36" s="7">
        <f>IF(AND(31&gt;=32, 31&lt;32+UsefulLife), AH2/UsefulLife, 0)</f>
        <v>0</v>
      </c>
      <c r="AH36" s="7">
        <f>IF(AND(32&gt;=32, 32&lt;32+UsefulLife), AH2/UsefulLife, 0)</f>
        <v>0</v>
      </c>
      <c r="AI36" s="7">
        <f>IF(AND(33&gt;=32, 33&lt;32+UsefulLife), AH2/UsefulLife, 0)</f>
        <v>0</v>
      </c>
      <c r="AJ36" s="7">
        <f>IF(AND(34&gt;=32, 34&lt;32+UsefulLife), AH2/UsefulLife, 0)</f>
        <v>0</v>
      </c>
      <c r="AK36" s="7">
        <f>IF(AND(35&gt;=32, 35&lt;32+UsefulLife), AH2/UsefulLife, 0)</f>
        <v>0</v>
      </c>
    </row>
    <row r="37" spans="1:37">
      <c r="A37" s="3" t="s">
        <v>123</v>
      </c>
      <c r="B37" s="7">
        <f>IF(AND(0&gt;=33, 0&lt;33+UsefulLife), AI2/UsefulLife, 0)</f>
        <v>0</v>
      </c>
      <c r="C37" s="7">
        <f>IF(AND(1&gt;=33, 1&lt;33+UsefulLife), AI2/UsefulLife, 0)</f>
        <v>0</v>
      </c>
      <c r="D37" s="7">
        <f>IF(AND(2&gt;=33, 2&lt;33+UsefulLife), AI2/UsefulLife, 0)</f>
        <v>0</v>
      </c>
      <c r="E37" s="7">
        <f>IF(AND(3&gt;=33, 3&lt;33+UsefulLife), AI2/UsefulLife, 0)</f>
        <v>0</v>
      </c>
      <c r="F37" s="7">
        <f>IF(AND(4&gt;=33, 4&lt;33+UsefulLife), AI2/UsefulLife, 0)</f>
        <v>0</v>
      </c>
      <c r="G37" s="7">
        <f>IF(AND(5&gt;=33, 5&lt;33+UsefulLife), AI2/UsefulLife, 0)</f>
        <v>0</v>
      </c>
      <c r="H37" s="7">
        <f>IF(AND(6&gt;=33, 6&lt;33+UsefulLife), AI2/UsefulLife, 0)</f>
        <v>0</v>
      </c>
      <c r="I37" s="7">
        <f>IF(AND(7&gt;=33, 7&lt;33+UsefulLife), AI2/UsefulLife, 0)</f>
        <v>0</v>
      </c>
      <c r="J37" s="7">
        <f>IF(AND(8&gt;=33, 8&lt;33+UsefulLife), AI2/UsefulLife, 0)</f>
        <v>0</v>
      </c>
      <c r="K37" s="7">
        <f>IF(AND(9&gt;=33, 9&lt;33+UsefulLife), AI2/UsefulLife, 0)</f>
        <v>0</v>
      </c>
      <c r="L37" s="7">
        <f>IF(AND(10&gt;=33, 10&lt;33+UsefulLife), AI2/UsefulLife, 0)</f>
        <v>0</v>
      </c>
      <c r="M37" s="7">
        <f>IF(AND(11&gt;=33, 11&lt;33+UsefulLife), AI2/UsefulLife, 0)</f>
        <v>0</v>
      </c>
      <c r="N37" s="7">
        <f>IF(AND(12&gt;=33, 12&lt;33+UsefulLife), AI2/UsefulLife, 0)</f>
        <v>0</v>
      </c>
      <c r="O37" s="7">
        <f>IF(AND(13&gt;=33, 13&lt;33+UsefulLife), AI2/UsefulLife, 0)</f>
        <v>0</v>
      </c>
      <c r="P37" s="7">
        <f>IF(AND(14&gt;=33, 14&lt;33+UsefulLife), AI2/UsefulLife, 0)</f>
        <v>0</v>
      </c>
      <c r="Q37" s="7">
        <f>IF(AND(15&gt;=33, 15&lt;33+UsefulLife), AI2/UsefulLife, 0)</f>
        <v>0</v>
      </c>
      <c r="R37" s="7">
        <f>IF(AND(16&gt;=33, 16&lt;33+UsefulLife), AI2/UsefulLife, 0)</f>
        <v>0</v>
      </c>
      <c r="S37" s="7">
        <f>IF(AND(17&gt;=33, 17&lt;33+UsefulLife), AI2/UsefulLife, 0)</f>
        <v>0</v>
      </c>
      <c r="T37" s="7">
        <f>IF(AND(18&gt;=33, 18&lt;33+UsefulLife), AI2/UsefulLife, 0)</f>
        <v>0</v>
      </c>
      <c r="U37" s="7">
        <f>IF(AND(19&gt;=33, 19&lt;33+UsefulLife), AI2/UsefulLife, 0)</f>
        <v>0</v>
      </c>
      <c r="V37" s="7">
        <f>IF(AND(20&gt;=33, 20&lt;33+UsefulLife), AI2/UsefulLife, 0)</f>
        <v>0</v>
      </c>
      <c r="W37" s="7">
        <f>IF(AND(21&gt;=33, 21&lt;33+UsefulLife), AI2/UsefulLife, 0)</f>
        <v>0</v>
      </c>
      <c r="X37" s="7">
        <f>IF(AND(22&gt;=33, 22&lt;33+UsefulLife), AI2/UsefulLife, 0)</f>
        <v>0</v>
      </c>
      <c r="Y37" s="7">
        <f>IF(AND(23&gt;=33, 23&lt;33+UsefulLife), AI2/UsefulLife, 0)</f>
        <v>0</v>
      </c>
      <c r="Z37" s="7">
        <f>IF(AND(24&gt;=33, 24&lt;33+UsefulLife), AI2/UsefulLife, 0)</f>
        <v>0</v>
      </c>
      <c r="AA37" s="7">
        <f>IF(AND(25&gt;=33, 25&lt;33+UsefulLife), AI2/UsefulLife, 0)</f>
        <v>0</v>
      </c>
      <c r="AB37" s="7">
        <f>IF(AND(26&gt;=33, 26&lt;33+UsefulLife), AI2/UsefulLife, 0)</f>
        <v>0</v>
      </c>
      <c r="AC37" s="7">
        <f>IF(AND(27&gt;=33, 27&lt;33+UsefulLife), AI2/UsefulLife, 0)</f>
        <v>0</v>
      </c>
      <c r="AD37" s="7">
        <f>IF(AND(28&gt;=33, 28&lt;33+UsefulLife), AI2/UsefulLife, 0)</f>
        <v>0</v>
      </c>
      <c r="AE37" s="7">
        <f>IF(AND(29&gt;=33, 29&lt;33+UsefulLife), AI2/UsefulLife, 0)</f>
        <v>0</v>
      </c>
      <c r="AF37" s="7">
        <f>IF(AND(30&gt;=33, 30&lt;33+UsefulLife), AI2/UsefulLife, 0)</f>
        <v>0</v>
      </c>
      <c r="AG37" s="7">
        <f>IF(AND(31&gt;=33, 31&lt;33+UsefulLife), AI2/UsefulLife, 0)</f>
        <v>0</v>
      </c>
      <c r="AH37" s="7">
        <f>IF(AND(32&gt;=33, 32&lt;33+UsefulLife), AI2/UsefulLife, 0)</f>
        <v>0</v>
      </c>
      <c r="AI37" s="7">
        <f>IF(AND(33&gt;=33, 33&lt;33+UsefulLife), AI2/UsefulLife, 0)</f>
        <v>0</v>
      </c>
      <c r="AJ37" s="7">
        <f>IF(AND(34&gt;=33, 34&lt;33+UsefulLife), AI2/UsefulLife, 0)</f>
        <v>0</v>
      </c>
      <c r="AK37" s="7">
        <f>IF(AND(35&gt;=33, 35&lt;33+UsefulLife), AI2/UsefulLife, 0)</f>
        <v>0</v>
      </c>
    </row>
    <row r="38" spans="1:37">
      <c r="A38" s="3" t="s">
        <v>124</v>
      </c>
      <c r="B38" s="7">
        <f>IF(AND(0&gt;=34, 0&lt;34+UsefulLife), AJ2/UsefulLife, 0)</f>
        <v>0</v>
      </c>
      <c r="C38" s="7">
        <f>IF(AND(1&gt;=34, 1&lt;34+UsefulLife), AJ2/UsefulLife, 0)</f>
        <v>0</v>
      </c>
      <c r="D38" s="7">
        <f>IF(AND(2&gt;=34, 2&lt;34+UsefulLife), AJ2/UsefulLife, 0)</f>
        <v>0</v>
      </c>
      <c r="E38" s="7">
        <f>IF(AND(3&gt;=34, 3&lt;34+UsefulLife), AJ2/UsefulLife, 0)</f>
        <v>0</v>
      </c>
      <c r="F38" s="7">
        <f>IF(AND(4&gt;=34, 4&lt;34+UsefulLife), AJ2/UsefulLife, 0)</f>
        <v>0</v>
      </c>
      <c r="G38" s="7">
        <f>IF(AND(5&gt;=34, 5&lt;34+UsefulLife), AJ2/UsefulLife, 0)</f>
        <v>0</v>
      </c>
      <c r="H38" s="7">
        <f>IF(AND(6&gt;=34, 6&lt;34+UsefulLife), AJ2/UsefulLife, 0)</f>
        <v>0</v>
      </c>
      <c r="I38" s="7">
        <f>IF(AND(7&gt;=34, 7&lt;34+UsefulLife), AJ2/UsefulLife, 0)</f>
        <v>0</v>
      </c>
      <c r="J38" s="7">
        <f>IF(AND(8&gt;=34, 8&lt;34+UsefulLife), AJ2/UsefulLife, 0)</f>
        <v>0</v>
      </c>
      <c r="K38" s="7">
        <f>IF(AND(9&gt;=34, 9&lt;34+UsefulLife), AJ2/UsefulLife, 0)</f>
        <v>0</v>
      </c>
      <c r="L38" s="7">
        <f>IF(AND(10&gt;=34, 10&lt;34+UsefulLife), AJ2/UsefulLife, 0)</f>
        <v>0</v>
      </c>
      <c r="M38" s="7">
        <f>IF(AND(11&gt;=34, 11&lt;34+UsefulLife), AJ2/UsefulLife, 0)</f>
        <v>0</v>
      </c>
      <c r="N38" s="7">
        <f>IF(AND(12&gt;=34, 12&lt;34+UsefulLife), AJ2/UsefulLife, 0)</f>
        <v>0</v>
      </c>
      <c r="O38" s="7">
        <f>IF(AND(13&gt;=34, 13&lt;34+UsefulLife), AJ2/UsefulLife, 0)</f>
        <v>0</v>
      </c>
      <c r="P38" s="7">
        <f>IF(AND(14&gt;=34, 14&lt;34+UsefulLife), AJ2/UsefulLife, 0)</f>
        <v>0</v>
      </c>
      <c r="Q38" s="7">
        <f>IF(AND(15&gt;=34, 15&lt;34+UsefulLife), AJ2/UsefulLife, 0)</f>
        <v>0</v>
      </c>
      <c r="R38" s="7">
        <f>IF(AND(16&gt;=34, 16&lt;34+UsefulLife), AJ2/UsefulLife, 0)</f>
        <v>0</v>
      </c>
      <c r="S38" s="7">
        <f>IF(AND(17&gt;=34, 17&lt;34+UsefulLife), AJ2/UsefulLife, 0)</f>
        <v>0</v>
      </c>
      <c r="T38" s="7">
        <f>IF(AND(18&gt;=34, 18&lt;34+UsefulLife), AJ2/UsefulLife, 0)</f>
        <v>0</v>
      </c>
      <c r="U38" s="7">
        <f>IF(AND(19&gt;=34, 19&lt;34+UsefulLife), AJ2/UsefulLife, 0)</f>
        <v>0</v>
      </c>
      <c r="V38" s="7">
        <f>IF(AND(20&gt;=34, 20&lt;34+UsefulLife), AJ2/UsefulLife, 0)</f>
        <v>0</v>
      </c>
      <c r="W38" s="7">
        <f>IF(AND(21&gt;=34, 21&lt;34+UsefulLife), AJ2/UsefulLife, 0)</f>
        <v>0</v>
      </c>
      <c r="X38" s="7">
        <f>IF(AND(22&gt;=34, 22&lt;34+UsefulLife), AJ2/UsefulLife, 0)</f>
        <v>0</v>
      </c>
      <c r="Y38" s="7">
        <f>IF(AND(23&gt;=34, 23&lt;34+UsefulLife), AJ2/UsefulLife, 0)</f>
        <v>0</v>
      </c>
      <c r="Z38" s="7">
        <f>IF(AND(24&gt;=34, 24&lt;34+UsefulLife), AJ2/UsefulLife, 0)</f>
        <v>0</v>
      </c>
      <c r="AA38" s="7">
        <f>IF(AND(25&gt;=34, 25&lt;34+UsefulLife), AJ2/UsefulLife, 0)</f>
        <v>0</v>
      </c>
      <c r="AB38" s="7">
        <f>IF(AND(26&gt;=34, 26&lt;34+UsefulLife), AJ2/UsefulLife, 0)</f>
        <v>0</v>
      </c>
      <c r="AC38" s="7">
        <f>IF(AND(27&gt;=34, 27&lt;34+UsefulLife), AJ2/UsefulLife, 0)</f>
        <v>0</v>
      </c>
      <c r="AD38" s="7">
        <f>IF(AND(28&gt;=34, 28&lt;34+UsefulLife), AJ2/UsefulLife, 0)</f>
        <v>0</v>
      </c>
      <c r="AE38" s="7">
        <f>IF(AND(29&gt;=34, 29&lt;34+UsefulLife), AJ2/UsefulLife, 0)</f>
        <v>0</v>
      </c>
      <c r="AF38" s="7">
        <f>IF(AND(30&gt;=34, 30&lt;34+UsefulLife), AJ2/UsefulLife, 0)</f>
        <v>0</v>
      </c>
      <c r="AG38" s="7">
        <f>IF(AND(31&gt;=34, 31&lt;34+UsefulLife), AJ2/UsefulLife, 0)</f>
        <v>0</v>
      </c>
      <c r="AH38" s="7">
        <f>IF(AND(32&gt;=34, 32&lt;34+UsefulLife), AJ2/UsefulLife, 0)</f>
        <v>0</v>
      </c>
      <c r="AI38" s="7">
        <f>IF(AND(33&gt;=34, 33&lt;34+UsefulLife), AJ2/UsefulLife, 0)</f>
        <v>0</v>
      </c>
      <c r="AJ38" s="7">
        <f>IF(AND(34&gt;=34, 34&lt;34+UsefulLife), AJ2/UsefulLife, 0)</f>
        <v>0</v>
      </c>
      <c r="AK38" s="7">
        <f>IF(AND(35&gt;=34, 35&lt;34+UsefulLife), AJ2/UsefulLife, 0)</f>
        <v>0</v>
      </c>
    </row>
    <row r="39" spans="1:37">
      <c r="A39" s="3" t="s">
        <v>125</v>
      </c>
      <c r="B39" s="7">
        <f>IF(AND(0&gt;=35, 0&lt;35+UsefulLife), AK2/UsefulLife, 0)</f>
        <v>0</v>
      </c>
      <c r="C39" s="7">
        <f>IF(AND(1&gt;=35, 1&lt;35+UsefulLife), AK2/UsefulLife, 0)</f>
        <v>0</v>
      </c>
      <c r="D39" s="7">
        <f>IF(AND(2&gt;=35, 2&lt;35+UsefulLife), AK2/UsefulLife, 0)</f>
        <v>0</v>
      </c>
      <c r="E39" s="7">
        <f>IF(AND(3&gt;=35, 3&lt;35+UsefulLife), AK2/UsefulLife, 0)</f>
        <v>0</v>
      </c>
      <c r="F39" s="7">
        <f>IF(AND(4&gt;=35, 4&lt;35+UsefulLife), AK2/UsefulLife, 0)</f>
        <v>0</v>
      </c>
      <c r="G39" s="7">
        <f>IF(AND(5&gt;=35, 5&lt;35+UsefulLife), AK2/UsefulLife, 0)</f>
        <v>0</v>
      </c>
      <c r="H39" s="7">
        <f>IF(AND(6&gt;=35, 6&lt;35+UsefulLife), AK2/UsefulLife, 0)</f>
        <v>0</v>
      </c>
      <c r="I39" s="7">
        <f>IF(AND(7&gt;=35, 7&lt;35+UsefulLife), AK2/UsefulLife, 0)</f>
        <v>0</v>
      </c>
      <c r="J39" s="7">
        <f>IF(AND(8&gt;=35, 8&lt;35+UsefulLife), AK2/UsefulLife, 0)</f>
        <v>0</v>
      </c>
      <c r="K39" s="7">
        <f>IF(AND(9&gt;=35, 9&lt;35+UsefulLife), AK2/UsefulLife, 0)</f>
        <v>0</v>
      </c>
      <c r="L39" s="7">
        <f>IF(AND(10&gt;=35, 10&lt;35+UsefulLife), AK2/UsefulLife, 0)</f>
        <v>0</v>
      </c>
      <c r="M39" s="7">
        <f>IF(AND(11&gt;=35, 11&lt;35+UsefulLife), AK2/UsefulLife, 0)</f>
        <v>0</v>
      </c>
      <c r="N39" s="7">
        <f>IF(AND(12&gt;=35, 12&lt;35+UsefulLife), AK2/UsefulLife, 0)</f>
        <v>0</v>
      </c>
      <c r="O39" s="7">
        <f>IF(AND(13&gt;=35, 13&lt;35+UsefulLife), AK2/UsefulLife, 0)</f>
        <v>0</v>
      </c>
      <c r="P39" s="7">
        <f>IF(AND(14&gt;=35, 14&lt;35+UsefulLife), AK2/UsefulLife, 0)</f>
        <v>0</v>
      </c>
      <c r="Q39" s="7">
        <f>IF(AND(15&gt;=35, 15&lt;35+UsefulLife), AK2/UsefulLife, 0)</f>
        <v>0</v>
      </c>
      <c r="R39" s="7">
        <f>IF(AND(16&gt;=35, 16&lt;35+UsefulLife), AK2/UsefulLife, 0)</f>
        <v>0</v>
      </c>
      <c r="S39" s="7">
        <f>IF(AND(17&gt;=35, 17&lt;35+UsefulLife), AK2/UsefulLife, 0)</f>
        <v>0</v>
      </c>
      <c r="T39" s="7">
        <f>IF(AND(18&gt;=35, 18&lt;35+UsefulLife), AK2/UsefulLife, 0)</f>
        <v>0</v>
      </c>
      <c r="U39" s="7">
        <f>IF(AND(19&gt;=35, 19&lt;35+UsefulLife), AK2/UsefulLife, 0)</f>
        <v>0</v>
      </c>
      <c r="V39" s="7">
        <f>IF(AND(20&gt;=35, 20&lt;35+UsefulLife), AK2/UsefulLife, 0)</f>
        <v>0</v>
      </c>
      <c r="W39" s="7">
        <f>IF(AND(21&gt;=35, 21&lt;35+UsefulLife), AK2/UsefulLife, 0)</f>
        <v>0</v>
      </c>
      <c r="X39" s="7">
        <f>IF(AND(22&gt;=35, 22&lt;35+UsefulLife), AK2/UsefulLife, 0)</f>
        <v>0</v>
      </c>
      <c r="Y39" s="7">
        <f>IF(AND(23&gt;=35, 23&lt;35+UsefulLife), AK2/UsefulLife, 0)</f>
        <v>0</v>
      </c>
      <c r="Z39" s="7">
        <f>IF(AND(24&gt;=35, 24&lt;35+UsefulLife), AK2/UsefulLife, 0)</f>
        <v>0</v>
      </c>
      <c r="AA39" s="7">
        <f>IF(AND(25&gt;=35, 25&lt;35+UsefulLife), AK2/UsefulLife, 0)</f>
        <v>0</v>
      </c>
      <c r="AB39" s="7">
        <f>IF(AND(26&gt;=35, 26&lt;35+UsefulLife), AK2/UsefulLife, 0)</f>
        <v>0</v>
      </c>
      <c r="AC39" s="7">
        <f>IF(AND(27&gt;=35, 27&lt;35+UsefulLife), AK2/UsefulLife, 0)</f>
        <v>0</v>
      </c>
      <c r="AD39" s="7">
        <f>IF(AND(28&gt;=35, 28&lt;35+UsefulLife), AK2/UsefulLife, 0)</f>
        <v>0</v>
      </c>
      <c r="AE39" s="7">
        <f>IF(AND(29&gt;=35, 29&lt;35+UsefulLife), AK2/UsefulLife, 0)</f>
        <v>0</v>
      </c>
      <c r="AF39" s="7">
        <f>IF(AND(30&gt;=35, 30&lt;35+UsefulLife), AK2/UsefulLife, 0)</f>
        <v>0</v>
      </c>
      <c r="AG39" s="7">
        <f>IF(AND(31&gt;=35, 31&lt;35+UsefulLife), AK2/UsefulLife, 0)</f>
        <v>0</v>
      </c>
      <c r="AH39" s="7">
        <f>IF(AND(32&gt;=35, 32&lt;35+UsefulLife), AK2/UsefulLife, 0)</f>
        <v>0</v>
      </c>
      <c r="AI39" s="7">
        <f>IF(AND(33&gt;=35, 33&lt;35+UsefulLife), AK2/UsefulLife, 0)</f>
        <v>0</v>
      </c>
      <c r="AJ39" s="7">
        <f>IF(AND(34&gt;=35, 34&lt;35+UsefulLife), AK2/UsefulLife, 0)</f>
        <v>0</v>
      </c>
      <c r="AK39" s="7">
        <f>IF(AND(35&gt;=35, 35&lt;35+UsefulLife), AK2/UsefulLife, 0)</f>
        <v>0</v>
      </c>
    </row>
    <row r="41" spans="1:37">
      <c r="A41" s="2" t="s">
        <v>126</v>
      </c>
      <c r="B41" s="5">
        <f>SUM(B4:B40)</f>
        <v>0</v>
      </c>
      <c r="C41" s="5">
        <f>SUM(C4:C40)</f>
        <v>0</v>
      </c>
      <c r="D41" s="5">
        <f>SUM(D4:D40)</f>
        <v>0</v>
      </c>
      <c r="E41" s="5">
        <f>SUM(E4:E40)</f>
        <v>0</v>
      </c>
      <c r="F41" s="5">
        <f>SUM(F4:F40)</f>
        <v>0</v>
      </c>
      <c r="G41" s="5">
        <f>SUM(G4:G40)</f>
        <v>0</v>
      </c>
      <c r="H41" s="5">
        <f>SUM(H4:H40)</f>
        <v>0</v>
      </c>
      <c r="I41" s="5">
        <f>SUM(I4:I40)</f>
        <v>0</v>
      </c>
      <c r="J41" s="5">
        <f>SUM(J4:J40)</f>
        <v>0</v>
      </c>
      <c r="K41" s="5">
        <f>SUM(K4:K40)</f>
        <v>0</v>
      </c>
      <c r="L41" s="5">
        <f>SUM(L4:L40)</f>
        <v>0</v>
      </c>
      <c r="M41" s="5">
        <f>SUM(M4:M40)</f>
        <v>0</v>
      </c>
      <c r="N41" s="5">
        <f>SUM(N4:N40)</f>
        <v>0</v>
      </c>
      <c r="O41" s="5">
        <f>SUM(O4:O40)</f>
        <v>0</v>
      </c>
      <c r="P41" s="5">
        <f>SUM(P4:P40)</f>
        <v>0</v>
      </c>
      <c r="Q41" s="5">
        <f>SUM(Q4:Q40)</f>
        <v>0</v>
      </c>
      <c r="R41" s="5">
        <f>SUM(R4:R40)</f>
        <v>0</v>
      </c>
      <c r="S41" s="5">
        <f>SUM(S4:S40)</f>
        <v>0</v>
      </c>
      <c r="T41" s="5">
        <f>SUM(T4:T40)</f>
        <v>0</v>
      </c>
      <c r="U41" s="5">
        <f>SUM(U4:U40)</f>
        <v>0</v>
      </c>
      <c r="V41" s="5">
        <f>SUM(V4:V40)</f>
        <v>0</v>
      </c>
      <c r="W41" s="5">
        <f>SUM(W4:W40)</f>
        <v>0</v>
      </c>
      <c r="X41" s="5">
        <f>SUM(X4:X40)</f>
        <v>0</v>
      </c>
      <c r="Y41" s="5">
        <f>SUM(Y4:Y40)</f>
        <v>0</v>
      </c>
      <c r="Z41" s="5">
        <f>SUM(Z4:Z40)</f>
        <v>0</v>
      </c>
      <c r="AA41" s="5">
        <f>SUM(AA4:AA40)</f>
        <v>0</v>
      </c>
      <c r="AB41" s="5">
        <f>SUM(AB4:AB40)</f>
        <v>0</v>
      </c>
      <c r="AC41" s="5">
        <f>SUM(AC4:AC40)</f>
        <v>0</v>
      </c>
      <c r="AD41" s="5">
        <f>SUM(AD4:AD40)</f>
        <v>0</v>
      </c>
      <c r="AE41" s="5">
        <f>SUM(AE4:AE40)</f>
        <v>0</v>
      </c>
      <c r="AF41" s="5">
        <f>SUM(AF4:AF40)</f>
        <v>0</v>
      </c>
      <c r="AG41" s="5">
        <f>SUM(AG4:AG40)</f>
        <v>0</v>
      </c>
      <c r="AH41" s="5">
        <f>SUM(AH4:AH40)</f>
        <v>0</v>
      </c>
      <c r="AI41" s="5">
        <f>SUM(AI4:AI40)</f>
        <v>0</v>
      </c>
      <c r="AJ41" s="5">
        <f>SUM(AJ4:AJ40)</f>
        <v>0</v>
      </c>
      <c r="AK41" s="5">
        <f>SUM(AK4:AK40)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3"/>
  <sheetViews>
    <sheetView workbookViewId="0"/>
  </sheetViews>
  <sheetFormatPr defaultRowHeight="15"/>
  <sheetData>
    <row r="1" spans="1:37">
      <c r="A1" s="2" t="s">
        <v>127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61</v>
      </c>
      <c r="K1" s="8" t="s">
        <v>62</v>
      </c>
      <c r="L1" s="8" t="s">
        <v>63</v>
      </c>
      <c r="M1" s="8" t="s">
        <v>64</v>
      </c>
      <c r="N1" s="8" t="s">
        <v>65</v>
      </c>
      <c r="O1" s="8" t="s">
        <v>66</v>
      </c>
      <c r="P1" s="8" t="s">
        <v>67</v>
      </c>
      <c r="Q1" s="8" t="s">
        <v>68</v>
      </c>
      <c r="R1" s="8" t="s">
        <v>69</v>
      </c>
      <c r="S1" s="8" t="s">
        <v>70</v>
      </c>
      <c r="T1" s="8" t="s">
        <v>71</v>
      </c>
      <c r="U1" s="8" t="s">
        <v>72</v>
      </c>
      <c r="V1" s="8" t="s">
        <v>73</v>
      </c>
      <c r="W1" s="8" t="s">
        <v>74</v>
      </c>
      <c r="X1" s="8" t="s">
        <v>75</v>
      </c>
      <c r="Y1" s="8" t="s">
        <v>76</v>
      </c>
      <c r="Z1" s="8" t="s">
        <v>77</v>
      </c>
      <c r="AA1" s="8" t="s">
        <v>78</v>
      </c>
      <c r="AB1" s="8" t="s">
        <v>79</v>
      </c>
      <c r="AC1" s="8" t="s">
        <v>80</v>
      </c>
      <c r="AD1" s="8" t="s">
        <v>81</v>
      </c>
      <c r="AE1" s="8" t="s">
        <v>82</v>
      </c>
      <c r="AF1" s="8" t="s">
        <v>83</v>
      </c>
      <c r="AG1" s="8" t="s">
        <v>84</v>
      </c>
      <c r="AH1" s="8" t="s">
        <v>85</v>
      </c>
      <c r="AI1" s="8" t="s">
        <v>86</v>
      </c>
      <c r="AJ1" s="8" t="s">
        <v>87</v>
      </c>
      <c r="AK1" s="8" t="s">
        <v>88</v>
      </c>
    </row>
    <row r="2" spans="1:37">
      <c r="A2" s="2" t="s">
        <v>128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  <c r="Z2" s="7">
        <v>25</v>
      </c>
      <c r="AA2" s="7">
        <v>26</v>
      </c>
      <c r="AB2" s="7">
        <v>27</v>
      </c>
      <c r="AC2" s="7">
        <v>28</v>
      </c>
      <c r="AD2" s="7">
        <v>29</v>
      </c>
      <c r="AE2" s="7">
        <v>30</v>
      </c>
      <c r="AF2" s="7">
        <v>31</v>
      </c>
      <c r="AG2" s="7">
        <v>32</v>
      </c>
      <c r="AH2" s="7">
        <v>33</v>
      </c>
      <c r="AI2" s="7">
        <v>34</v>
      </c>
      <c r="AJ2" s="7">
        <v>35</v>
      </c>
      <c r="AK2" s="7">
        <v>36</v>
      </c>
    </row>
    <row r="3" spans="1:37">
      <c r="A3" s="2" t="s">
        <v>129</v>
      </c>
      <c r="B3" s="5">
        <f>BaseRevenue * ((1+VolGrowth+INDEX(Scenario_Table,MATCH(ScenarioSelector,INDEX(Scenario_Table,,1),0),4))^(B2-1)) * ((1+PriceGrowth+INDEX(Scenario_Table,MATCH(ScenarioSelector,INDEX(Scenario_Table,,1),0),5))^(B2-1)) * INDEX(Seasonality, MOD(B2-1, 12)+1) * INDEX(Scenario_Table,MATCH(ScenarioSelector,INDEX(Scenario_Table,,1),0),2)</f>
        <v>0</v>
      </c>
      <c r="C3" s="5">
        <f>BaseRevenue * ((1+VolGrowth+INDEX(Scenario_Table,MATCH(ScenarioSelector,INDEX(Scenario_Table,,1),0),4))^(C2-1)) * ((1+PriceGrowth+INDEX(Scenario_Table,MATCH(ScenarioSelector,INDEX(Scenario_Table,,1),0),5))^(C2-1)) * INDEX(Seasonality, MOD(C2-1, 12)+1) * INDEX(Scenario_Table,MATCH(ScenarioSelector,INDEX(Scenario_Table,,1),0),2)</f>
        <v>0</v>
      </c>
      <c r="D3" s="5">
        <f>BaseRevenue * ((1+VolGrowth+INDEX(Scenario_Table,MATCH(ScenarioSelector,INDEX(Scenario_Table,,1),0),4))^(D2-1)) * ((1+PriceGrowth+INDEX(Scenario_Table,MATCH(ScenarioSelector,INDEX(Scenario_Table,,1),0),5))^(D2-1)) * INDEX(Seasonality, MOD(D2-1, 12)+1) * INDEX(Scenario_Table,MATCH(ScenarioSelector,INDEX(Scenario_Table,,1),0),2)</f>
        <v>0</v>
      </c>
      <c r="E3" s="5">
        <f>BaseRevenue * ((1+VolGrowth+INDEX(Scenario_Table,MATCH(ScenarioSelector,INDEX(Scenario_Table,,1),0),4))^(E2-1)) * ((1+PriceGrowth+INDEX(Scenario_Table,MATCH(ScenarioSelector,INDEX(Scenario_Table,,1),0),5))^(E2-1)) * INDEX(Seasonality, MOD(E2-1, 12)+1) * INDEX(Scenario_Table,MATCH(ScenarioSelector,INDEX(Scenario_Table,,1),0),2)</f>
        <v>0</v>
      </c>
      <c r="F3" s="5">
        <f>BaseRevenue * ((1+VolGrowth+INDEX(Scenario_Table,MATCH(ScenarioSelector,INDEX(Scenario_Table,,1),0),4))^(F2-1)) * ((1+PriceGrowth+INDEX(Scenario_Table,MATCH(ScenarioSelector,INDEX(Scenario_Table,,1),0),5))^(F2-1)) * INDEX(Seasonality, MOD(F2-1, 12)+1) * INDEX(Scenario_Table,MATCH(ScenarioSelector,INDEX(Scenario_Table,,1),0),2)</f>
        <v>0</v>
      </c>
      <c r="G3" s="5">
        <f>BaseRevenue * ((1+VolGrowth+INDEX(Scenario_Table,MATCH(ScenarioSelector,INDEX(Scenario_Table,,1),0),4))^(G2-1)) * ((1+PriceGrowth+INDEX(Scenario_Table,MATCH(ScenarioSelector,INDEX(Scenario_Table,,1),0),5))^(G2-1)) * INDEX(Seasonality, MOD(G2-1, 12)+1) * INDEX(Scenario_Table,MATCH(ScenarioSelector,INDEX(Scenario_Table,,1),0),2)</f>
        <v>0</v>
      </c>
      <c r="H3" s="5">
        <f>BaseRevenue * ((1+VolGrowth+INDEX(Scenario_Table,MATCH(ScenarioSelector,INDEX(Scenario_Table,,1),0),4))^(H2-1)) * ((1+PriceGrowth+INDEX(Scenario_Table,MATCH(ScenarioSelector,INDEX(Scenario_Table,,1),0),5))^(H2-1)) * INDEX(Seasonality, MOD(H2-1, 12)+1) * INDEX(Scenario_Table,MATCH(ScenarioSelector,INDEX(Scenario_Table,,1),0),2)</f>
        <v>0</v>
      </c>
      <c r="I3" s="5">
        <f>BaseRevenue * ((1+VolGrowth+INDEX(Scenario_Table,MATCH(ScenarioSelector,INDEX(Scenario_Table,,1),0),4))^(I2-1)) * ((1+PriceGrowth+INDEX(Scenario_Table,MATCH(ScenarioSelector,INDEX(Scenario_Table,,1),0),5))^(I2-1)) * INDEX(Seasonality, MOD(I2-1, 12)+1) * INDEX(Scenario_Table,MATCH(ScenarioSelector,INDEX(Scenario_Table,,1),0),2)</f>
        <v>0</v>
      </c>
      <c r="J3" s="5">
        <f>BaseRevenue * ((1+VolGrowth+INDEX(Scenario_Table,MATCH(ScenarioSelector,INDEX(Scenario_Table,,1),0),4))^(J2-1)) * ((1+PriceGrowth+INDEX(Scenario_Table,MATCH(ScenarioSelector,INDEX(Scenario_Table,,1),0),5))^(J2-1)) * INDEX(Seasonality, MOD(J2-1, 12)+1) * INDEX(Scenario_Table,MATCH(ScenarioSelector,INDEX(Scenario_Table,,1),0),2)</f>
        <v>0</v>
      </c>
      <c r="K3" s="5">
        <f>BaseRevenue * ((1+VolGrowth+INDEX(Scenario_Table,MATCH(ScenarioSelector,INDEX(Scenario_Table,,1),0),4))^(K2-1)) * ((1+PriceGrowth+INDEX(Scenario_Table,MATCH(ScenarioSelector,INDEX(Scenario_Table,,1),0),5))^(K2-1)) * INDEX(Seasonality, MOD(K2-1, 12)+1) * INDEX(Scenario_Table,MATCH(ScenarioSelector,INDEX(Scenario_Table,,1),0),2)</f>
        <v>0</v>
      </c>
      <c r="L3" s="5">
        <f>BaseRevenue * ((1+VolGrowth+INDEX(Scenario_Table,MATCH(ScenarioSelector,INDEX(Scenario_Table,,1),0),4))^(L2-1)) * ((1+PriceGrowth+INDEX(Scenario_Table,MATCH(ScenarioSelector,INDEX(Scenario_Table,,1),0),5))^(L2-1)) * INDEX(Seasonality, MOD(L2-1, 12)+1) * INDEX(Scenario_Table,MATCH(ScenarioSelector,INDEX(Scenario_Table,,1),0),2)</f>
        <v>0</v>
      </c>
      <c r="M3" s="5">
        <f>BaseRevenue * ((1+VolGrowth+INDEX(Scenario_Table,MATCH(ScenarioSelector,INDEX(Scenario_Table,,1),0),4))^(M2-1)) * ((1+PriceGrowth+INDEX(Scenario_Table,MATCH(ScenarioSelector,INDEX(Scenario_Table,,1),0),5))^(M2-1)) * INDEX(Seasonality, MOD(M2-1, 12)+1) * INDEX(Scenario_Table,MATCH(ScenarioSelector,INDEX(Scenario_Table,,1),0),2)</f>
        <v>0</v>
      </c>
      <c r="N3" s="5">
        <f>BaseRevenue * ((1+VolGrowth+INDEX(Scenario_Table,MATCH(ScenarioSelector,INDEX(Scenario_Table,,1),0),4))^(N2-1)) * ((1+PriceGrowth+INDEX(Scenario_Table,MATCH(ScenarioSelector,INDEX(Scenario_Table,,1),0),5))^(N2-1)) * INDEX(Seasonality, MOD(N2-1, 12)+1) * INDEX(Scenario_Table,MATCH(ScenarioSelector,INDEX(Scenario_Table,,1),0),2)</f>
        <v>0</v>
      </c>
      <c r="O3" s="5">
        <f>BaseRevenue * ((1+VolGrowth+INDEX(Scenario_Table,MATCH(ScenarioSelector,INDEX(Scenario_Table,,1),0),4))^(O2-1)) * ((1+PriceGrowth+INDEX(Scenario_Table,MATCH(ScenarioSelector,INDEX(Scenario_Table,,1),0),5))^(O2-1)) * INDEX(Seasonality, MOD(O2-1, 12)+1) * INDEX(Scenario_Table,MATCH(ScenarioSelector,INDEX(Scenario_Table,,1),0),2)</f>
        <v>0</v>
      </c>
      <c r="P3" s="5">
        <f>BaseRevenue * ((1+VolGrowth+INDEX(Scenario_Table,MATCH(ScenarioSelector,INDEX(Scenario_Table,,1),0),4))^(P2-1)) * ((1+PriceGrowth+INDEX(Scenario_Table,MATCH(ScenarioSelector,INDEX(Scenario_Table,,1),0),5))^(P2-1)) * INDEX(Seasonality, MOD(P2-1, 12)+1) * INDEX(Scenario_Table,MATCH(ScenarioSelector,INDEX(Scenario_Table,,1),0),2)</f>
        <v>0</v>
      </c>
      <c r="Q3" s="5">
        <f>BaseRevenue * ((1+VolGrowth+INDEX(Scenario_Table,MATCH(ScenarioSelector,INDEX(Scenario_Table,,1),0),4))^(Q2-1)) * ((1+PriceGrowth+INDEX(Scenario_Table,MATCH(ScenarioSelector,INDEX(Scenario_Table,,1),0),5))^(Q2-1)) * INDEX(Seasonality, MOD(Q2-1, 12)+1) * INDEX(Scenario_Table,MATCH(ScenarioSelector,INDEX(Scenario_Table,,1),0),2)</f>
        <v>0</v>
      </c>
      <c r="R3" s="5">
        <f>BaseRevenue * ((1+VolGrowth+INDEX(Scenario_Table,MATCH(ScenarioSelector,INDEX(Scenario_Table,,1),0),4))^(R2-1)) * ((1+PriceGrowth+INDEX(Scenario_Table,MATCH(ScenarioSelector,INDEX(Scenario_Table,,1),0),5))^(R2-1)) * INDEX(Seasonality, MOD(R2-1, 12)+1) * INDEX(Scenario_Table,MATCH(ScenarioSelector,INDEX(Scenario_Table,,1),0),2)</f>
        <v>0</v>
      </c>
      <c r="S3" s="5">
        <f>BaseRevenue * ((1+VolGrowth+INDEX(Scenario_Table,MATCH(ScenarioSelector,INDEX(Scenario_Table,,1),0),4))^(S2-1)) * ((1+PriceGrowth+INDEX(Scenario_Table,MATCH(ScenarioSelector,INDEX(Scenario_Table,,1),0),5))^(S2-1)) * INDEX(Seasonality, MOD(S2-1, 12)+1) * INDEX(Scenario_Table,MATCH(ScenarioSelector,INDEX(Scenario_Table,,1),0),2)</f>
        <v>0</v>
      </c>
      <c r="T3" s="5">
        <f>BaseRevenue * ((1+VolGrowth+INDEX(Scenario_Table,MATCH(ScenarioSelector,INDEX(Scenario_Table,,1),0),4))^(T2-1)) * ((1+PriceGrowth+INDEX(Scenario_Table,MATCH(ScenarioSelector,INDEX(Scenario_Table,,1),0),5))^(T2-1)) * INDEX(Seasonality, MOD(T2-1, 12)+1) * INDEX(Scenario_Table,MATCH(ScenarioSelector,INDEX(Scenario_Table,,1),0),2)</f>
        <v>0</v>
      </c>
      <c r="U3" s="5">
        <f>BaseRevenue * ((1+VolGrowth+INDEX(Scenario_Table,MATCH(ScenarioSelector,INDEX(Scenario_Table,,1),0),4))^(U2-1)) * ((1+PriceGrowth+INDEX(Scenario_Table,MATCH(ScenarioSelector,INDEX(Scenario_Table,,1),0),5))^(U2-1)) * INDEX(Seasonality, MOD(U2-1, 12)+1) * INDEX(Scenario_Table,MATCH(ScenarioSelector,INDEX(Scenario_Table,,1),0),2)</f>
        <v>0</v>
      </c>
      <c r="V3" s="5">
        <f>BaseRevenue * ((1+VolGrowth+INDEX(Scenario_Table,MATCH(ScenarioSelector,INDEX(Scenario_Table,,1),0),4))^(V2-1)) * ((1+PriceGrowth+INDEX(Scenario_Table,MATCH(ScenarioSelector,INDEX(Scenario_Table,,1),0),5))^(V2-1)) * INDEX(Seasonality, MOD(V2-1, 12)+1) * INDEX(Scenario_Table,MATCH(ScenarioSelector,INDEX(Scenario_Table,,1),0),2)</f>
        <v>0</v>
      </c>
      <c r="W3" s="5">
        <f>BaseRevenue * ((1+VolGrowth+INDEX(Scenario_Table,MATCH(ScenarioSelector,INDEX(Scenario_Table,,1),0),4))^(W2-1)) * ((1+PriceGrowth+INDEX(Scenario_Table,MATCH(ScenarioSelector,INDEX(Scenario_Table,,1),0),5))^(W2-1)) * INDEX(Seasonality, MOD(W2-1, 12)+1) * INDEX(Scenario_Table,MATCH(ScenarioSelector,INDEX(Scenario_Table,,1),0),2)</f>
        <v>0</v>
      </c>
      <c r="X3" s="5">
        <f>BaseRevenue * ((1+VolGrowth+INDEX(Scenario_Table,MATCH(ScenarioSelector,INDEX(Scenario_Table,,1),0),4))^(X2-1)) * ((1+PriceGrowth+INDEX(Scenario_Table,MATCH(ScenarioSelector,INDEX(Scenario_Table,,1),0),5))^(X2-1)) * INDEX(Seasonality, MOD(X2-1, 12)+1) * INDEX(Scenario_Table,MATCH(ScenarioSelector,INDEX(Scenario_Table,,1),0),2)</f>
        <v>0</v>
      </c>
      <c r="Y3" s="5">
        <f>BaseRevenue * ((1+VolGrowth+INDEX(Scenario_Table,MATCH(ScenarioSelector,INDEX(Scenario_Table,,1),0),4))^(Y2-1)) * ((1+PriceGrowth+INDEX(Scenario_Table,MATCH(ScenarioSelector,INDEX(Scenario_Table,,1),0),5))^(Y2-1)) * INDEX(Seasonality, MOD(Y2-1, 12)+1) * INDEX(Scenario_Table,MATCH(ScenarioSelector,INDEX(Scenario_Table,,1),0),2)</f>
        <v>0</v>
      </c>
      <c r="Z3" s="5">
        <f>BaseRevenue * ((1+VolGrowth+INDEX(Scenario_Table,MATCH(ScenarioSelector,INDEX(Scenario_Table,,1),0),4))^(Z2-1)) * ((1+PriceGrowth+INDEX(Scenario_Table,MATCH(ScenarioSelector,INDEX(Scenario_Table,,1),0),5))^(Z2-1)) * INDEX(Seasonality, MOD(Z2-1, 12)+1) * INDEX(Scenario_Table,MATCH(ScenarioSelector,INDEX(Scenario_Table,,1),0),2)</f>
        <v>0</v>
      </c>
      <c r="AA3" s="5">
        <f>BaseRevenue * ((1+VolGrowth+INDEX(Scenario_Table,MATCH(ScenarioSelector,INDEX(Scenario_Table,,1),0),4))^(AA2-1)) * ((1+PriceGrowth+INDEX(Scenario_Table,MATCH(ScenarioSelector,INDEX(Scenario_Table,,1),0),5))^(AA2-1)) * INDEX(Seasonality, MOD(AA2-1, 12)+1) * INDEX(Scenario_Table,MATCH(ScenarioSelector,INDEX(Scenario_Table,,1),0),2)</f>
        <v>0</v>
      </c>
      <c r="AB3" s="5">
        <f>BaseRevenue * ((1+VolGrowth+INDEX(Scenario_Table,MATCH(ScenarioSelector,INDEX(Scenario_Table,,1),0),4))^(AB2-1)) * ((1+PriceGrowth+INDEX(Scenario_Table,MATCH(ScenarioSelector,INDEX(Scenario_Table,,1),0),5))^(AB2-1)) * INDEX(Seasonality, MOD(AB2-1, 12)+1) * INDEX(Scenario_Table,MATCH(ScenarioSelector,INDEX(Scenario_Table,,1),0),2)</f>
        <v>0</v>
      </c>
      <c r="AC3" s="5">
        <f>BaseRevenue * ((1+VolGrowth+INDEX(Scenario_Table,MATCH(ScenarioSelector,INDEX(Scenario_Table,,1),0),4))^(AC2-1)) * ((1+PriceGrowth+INDEX(Scenario_Table,MATCH(ScenarioSelector,INDEX(Scenario_Table,,1),0),5))^(AC2-1)) * INDEX(Seasonality, MOD(AC2-1, 12)+1) * INDEX(Scenario_Table,MATCH(ScenarioSelector,INDEX(Scenario_Table,,1),0),2)</f>
        <v>0</v>
      </c>
      <c r="AD3" s="5">
        <f>BaseRevenue * ((1+VolGrowth+INDEX(Scenario_Table,MATCH(ScenarioSelector,INDEX(Scenario_Table,,1),0),4))^(AD2-1)) * ((1+PriceGrowth+INDEX(Scenario_Table,MATCH(ScenarioSelector,INDEX(Scenario_Table,,1),0),5))^(AD2-1)) * INDEX(Seasonality, MOD(AD2-1, 12)+1) * INDEX(Scenario_Table,MATCH(ScenarioSelector,INDEX(Scenario_Table,,1),0),2)</f>
        <v>0</v>
      </c>
      <c r="AE3" s="5">
        <f>BaseRevenue * ((1+VolGrowth+INDEX(Scenario_Table,MATCH(ScenarioSelector,INDEX(Scenario_Table,,1),0),4))^(AE2-1)) * ((1+PriceGrowth+INDEX(Scenario_Table,MATCH(ScenarioSelector,INDEX(Scenario_Table,,1),0),5))^(AE2-1)) * INDEX(Seasonality, MOD(AE2-1, 12)+1) * INDEX(Scenario_Table,MATCH(ScenarioSelector,INDEX(Scenario_Table,,1),0),2)</f>
        <v>0</v>
      </c>
      <c r="AF3" s="5">
        <f>BaseRevenue * ((1+VolGrowth+INDEX(Scenario_Table,MATCH(ScenarioSelector,INDEX(Scenario_Table,,1),0),4))^(AF2-1)) * ((1+PriceGrowth+INDEX(Scenario_Table,MATCH(ScenarioSelector,INDEX(Scenario_Table,,1),0),5))^(AF2-1)) * INDEX(Seasonality, MOD(AF2-1, 12)+1) * INDEX(Scenario_Table,MATCH(ScenarioSelector,INDEX(Scenario_Table,,1),0),2)</f>
        <v>0</v>
      </c>
      <c r="AG3" s="5">
        <f>BaseRevenue * ((1+VolGrowth+INDEX(Scenario_Table,MATCH(ScenarioSelector,INDEX(Scenario_Table,,1),0),4))^(AG2-1)) * ((1+PriceGrowth+INDEX(Scenario_Table,MATCH(ScenarioSelector,INDEX(Scenario_Table,,1),0),5))^(AG2-1)) * INDEX(Seasonality, MOD(AG2-1, 12)+1) * INDEX(Scenario_Table,MATCH(ScenarioSelector,INDEX(Scenario_Table,,1),0),2)</f>
        <v>0</v>
      </c>
      <c r="AH3" s="5">
        <f>BaseRevenue * ((1+VolGrowth+INDEX(Scenario_Table,MATCH(ScenarioSelector,INDEX(Scenario_Table,,1),0),4))^(AH2-1)) * ((1+PriceGrowth+INDEX(Scenario_Table,MATCH(ScenarioSelector,INDEX(Scenario_Table,,1),0),5))^(AH2-1)) * INDEX(Seasonality, MOD(AH2-1, 12)+1) * INDEX(Scenario_Table,MATCH(ScenarioSelector,INDEX(Scenario_Table,,1),0),2)</f>
        <v>0</v>
      </c>
      <c r="AI3" s="5">
        <f>BaseRevenue * ((1+VolGrowth+INDEX(Scenario_Table,MATCH(ScenarioSelector,INDEX(Scenario_Table,,1),0),4))^(AI2-1)) * ((1+PriceGrowth+INDEX(Scenario_Table,MATCH(ScenarioSelector,INDEX(Scenario_Table,,1),0),5))^(AI2-1)) * INDEX(Seasonality, MOD(AI2-1, 12)+1) * INDEX(Scenario_Table,MATCH(ScenarioSelector,INDEX(Scenario_Table,,1),0),2)</f>
        <v>0</v>
      </c>
      <c r="AJ3" s="5">
        <f>BaseRevenue * ((1+VolGrowth+INDEX(Scenario_Table,MATCH(ScenarioSelector,INDEX(Scenario_Table,,1),0),4))^(AJ2-1)) * ((1+PriceGrowth+INDEX(Scenario_Table,MATCH(ScenarioSelector,INDEX(Scenario_Table,,1),0),5))^(AJ2-1)) * INDEX(Seasonality, MOD(AJ2-1, 12)+1) * INDEX(Scenario_Table,MATCH(ScenarioSelector,INDEX(Scenario_Table,,1),0),2)</f>
        <v>0</v>
      </c>
      <c r="AK3" s="5">
        <f>BaseRevenue * ((1+VolGrowth+INDEX(Scenario_Table,MATCH(ScenarioSelector,INDEX(Scenario_Table,,1),0),4))^(AK2-1)) * ((1+PriceGrowth+INDEX(Scenario_Table,MATCH(ScenarioSelector,INDEX(Scenario_Table,,1),0),5))^(AK2-1)) * INDEX(Seasonality, MOD(AK2-1, 12)+1) * INDEX(Scenario_Table,MATCH(ScenarioSelector,INDEX(Scenario_Table,,1),0),2)</f>
        <v>0</v>
      </c>
    </row>
    <row r="4" spans="1:37">
      <c r="A4" s="2" t="s">
        <v>130</v>
      </c>
      <c r="B4" s="5">
        <f>B3 * COGS_Pct * INDEX(Scenario_Table,MATCH(ScenarioSelector,INDEX(Scenario_Table,,1),0),3)</f>
        <v>0</v>
      </c>
      <c r="C4" s="5">
        <f>C3 * COGS_Pct * INDEX(Scenario_Table,MATCH(ScenarioSelector,INDEX(Scenario_Table,,1),0),3)</f>
        <v>0</v>
      </c>
      <c r="D4" s="5">
        <f>D3 * COGS_Pct * INDEX(Scenario_Table,MATCH(ScenarioSelector,INDEX(Scenario_Table,,1),0),3)</f>
        <v>0</v>
      </c>
      <c r="E4" s="5">
        <f>E3 * COGS_Pct * INDEX(Scenario_Table,MATCH(ScenarioSelector,INDEX(Scenario_Table,,1),0),3)</f>
        <v>0</v>
      </c>
      <c r="F4" s="5">
        <f>F3 * COGS_Pct * INDEX(Scenario_Table,MATCH(ScenarioSelector,INDEX(Scenario_Table,,1),0),3)</f>
        <v>0</v>
      </c>
      <c r="G4" s="5">
        <f>G3 * COGS_Pct * INDEX(Scenario_Table,MATCH(ScenarioSelector,INDEX(Scenario_Table,,1),0),3)</f>
        <v>0</v>
      </c>
      <c r="H4" s="5">
        <f>H3 * COGS_Pct * INDEX(Scenario_Table,MATCH(ScenarioSelector,INDEX(Scenario_Table,,1),0),3)</f>
        <v>0</v>
      </c>
      <c r="I4" s="5">
        <f>I3 * COGS_Pct * INDEX(Scenario_Table,MATCH(ScenarioSelector,INDEX(Scenario_Table,,1),0),3)</f>
        <v>0</v>
      </c>
      <c r="J4" s="5">
        <f>J3 * COGS_Pct * INDEX(Scenario_Table,MATCH(ScenarioSelector,INDEX(Scenario_Table,,1),0),3)</f>
        <v>0</v>
      </c>
      <c r="K4" s="5">
        <f>K3 * COGS_Pct * INDEX(Scenario_Table,MATCH(ScenarioSelector,INDEX(Scenario_Table,,1),0),3)</f>
        <v>0</v>
      </c>
      <c r="L4" s="5">
        <f>L3 * COGS_Pct * INDEX(Scenario_Table,MATCH(ScenarioSelector,INDEX(Scenario_Table,,1),0),3)</f>
        <v>0</v>
      </c>
      <c r="M4" s="5">
        <f>M3 * COGS_Pct * INDEX(Scenario_Table,MATCH(ScenarioSelector,INDEX(Scenario_Table,,1),0),3)</f>
        <v>0</v>
      </c>
      <c r="N4" s="5">
        <f>N3 * COGS_Pct * INDEX(Scenario_Table,MATCH(ScenarioSelector,INDEX(Scenario_Table,,1),0),3)</f>
        <v>0</v>
      </c>
      <c r="O4" s="5">
        <f>O3 * COGS_Pct * INDEX(Scenario_Table,MATCH(ScenarioSelector,INDEX(Scenario_Table,,1),0),3)</f>
        <v>0</v>
      </c>
      <c r="P4" s="5">
        <f>P3 * COGS_Pct * INDEX(Scenario_Table,MATCH(ScenarioSelector,INDEX(Scenario_Table,,1),0),3)</f>
        <v>0</v>
      </c>
      <c r="Q4" s="5">
        <f>Q3 * COGS_Pct * INDEX(Scenario_Table,MATCH(ScenarioSelector,INDEX(Scenario_Table,,1),0),3)</f>
        <v>0</v>
      </c>
      <c r="R4" s="5">
        <f>R3 * COGS_Pct * INDEX(Scenario_Table,MATCH(ScenarioSelector,INDEX(Scenario_Table,,1),0),3)</f>
        <v>0</v>
      </c>
      <c r="S4" s="5">
        <f>S3 * COGS_Pct * INDEX(Scenario_Table,MATCH(ScenarioSelector,INDEX(Scenario_Table,,1),0),3)</f>
        <v>0</v>
      </c>
      <c r="T4" s="5">
        <f>T3 * COGS_Pct * INDEX(Scenario_Table,MATCH(ScenarioSelector,INDEX(Scenario_Table,,1),0),3)</f>
        <v>0</v>
      </c>
      <c r="U4" s="5">
        <f>U3 * COGS_Pct * INDEX(Scenario_Table,MATCH(ScenarioSelector,INDEX(Scenario_Table,,1),0),3)</f>
        <v>0</v>
      </c>
      <c r="V4" s="5">
        <f>V3 * COGS_Pct * INDEX(Scenario_Table,MATCH(ScenarioSelector,INDEX(Scenario_Table,,1),0),3)</f>
        <v>0</v>
      </c>
      <c r="W4" s="5">
        <f>W3 * COGS_Pct * INDEX(Scenario_Table,MATCH(ScenarioSelector,INDEX(Scenario_Table,,1),0),3)</f>
        <v>0</v>
      </c>
      <c r="X4" s="5">
        <f>X3 * COGS_Pct * INDEX(Scenario_Table,MATCH(ScenarioSelector,INDEX(Scenario_Table,,1),0),3)</f>
        <v>0</v>
      </c>
      <c r="Y4" s="5">
        <f>Y3 * COGS_Pct * INDEX(Scenario_Table,MATCH(ScenarioSelector,INDEX(Scenario_Table,,1),0),3)</f>
        <v>0</v>
      </c>
      <c r="Z4" s="5">
        <f>Z3 * COGS_Pct * INDEX(Scenario_Table,MATCH(ScenarioSelector,INDEX(Scenario_Table,,1),0),3)</f>
        <v>0</v>
      </c>
      <c r="AA4" s="5">
        <f>AA3 * COGS_Pct * INDEX(Scenario_Table,MATCH(ScenarioSelector,INDEX(Scenario_Table,,1),0),3)</f>
        <v>0</v>
      </c>
      <c r="AB4" s="5">
        <f>AB3 * COGS_Pct * INDEX(Scenario_Table,MATCH(ScenarioSelector,INDEX(Scenario_Table,,1),0),3)</f>
        <v>0</v>
      </c>
      <c r="AC4" s="5">
        <f>AC3 * COGS_Pct * INDEX(Scenario_Table,MATCH(ScenarioSelector,INDEX(Scenario_Table,,1),0),3)</f>
        <v>0</v>
      </c>
      <c r="AD4" s="5">
        <f>AD3 * COGS_Pct * INDEX(Scenario_Table,MATCH(ScenarioSelector,INDEX(Scenario_Table,,1),0),3)</f>
        <v>0</v>
      </c>
      <c r="AE4" s="5">
        <f>AE3 * COGS_Pct * INDEX(Scenario_Table,MATCH(ScenarioSelector,INDEX(Scenario_Table,,1),0),3)</f>
        <v>0</v>
      </c>
      <c r="AF4" s="5">
        <f>AF3 * COGS_Pct * INDEX(Scenario_Table,MATCH(ScenarioSelector,INDEX(Scenario_Table,,1),0),3)</f>
        <v>0</v>
      </c>
      <c r="AG4" s="5">
        <f>AG3 * COGS_Pct * INDEX(Scenario_Table,MATCH(ScenarioSelector,INDEX(Scenario_Table,,1),0),3)</f>
        <v>0</v>
      </c>
      <c r="AH4" s="5">
        <f>AH3 * COGS_Pct * INDEX(Scenario_Table,MATCH(ScenarioSelector,INDEX(Scenario_Table,,1),0),3)</f>
        <v>0</v>
      </c>
      <c r="AI4" s="5">
        <f>AI3 * COGS_Pct * INDEX(Scenario_Table,MATCH(ScenarioSelector,INDEX(Scenario_Table,,1),0),3)</f>
        <v>0</v>
      </c>
      <c r="AJ4" s="5">
        <f>AJ3 * COGS_Pct * INDEX(Scenario_Table,MATCH(ScenarioSelector,INDEX(Scenario_Table,,1),0),3)</f>
        <v>0</v>
      </c>
      <c r="AK4" s="5">
        <f>AK3 * COGS_Pct * INDEX(Scenario_Table,MATCH(ScenarioSelector,INDEX(Scenario_Table,,1),0),3)</f>
        <v>0</v>
      </c>
    </row>
    <row r="5" spans="1:37">
      <c r="A5" s="2" t="s">
        <v>131</v>
      </c>
      <c r="B5" s="5">
        <f>FixedOpEx + (OpExVarPct * B3) + B6</f>
        <v>0</v>
      </c>
      <c r="C5" s="5">
        <f>FixedOpEx + (OpExVarPct * C3) + C6</f>
        <v>0</v>
      </c>
      <c r="D5" s="5">
        <f>FixedOpEx + (OpExVarPct * D3) + D6</f>
        <v>0</v>
      </c>
      <c r="E5" s="5">
        <f>FixedOpEx + (OpExVarPct * E3) + E6</f>
        <v>0</v>
      </c>
      <c r="F5" s="5">
        <f>FixedOpEx + (OpExVarPct * F3) + F6</f>
        <v>0</v>
      </c>
      <c r="G5" s="5">
        <f>FixedOpEx + (OpExVarPct * G3) + G6</f>
        <v>0</v>
      </c>
      <c r="H5" s="5">
        <f>FixedOpEx + (OpExVarPct * H3) + H6</f>
        <v>0</v>
      </c>
      <c r="I5" s="5">
        <f>FixedOpEx + (OpExVarPct * I3) + I6</f>
        <v>0</v>
      </c>
      <c r="J5" s="5">
        <f>FixedOpEx + (OpExVarPct * J3) + J6</f>
        <v>0</v>
      </c>
      <c r="K5" s="5">
        <f>FixedOpEx + (OpExVarPct * K3) + K6</f>
        <v>0</v>
      </c>
      <c r="L5" s="5">
        <f>FixedOpEx + (OpExVarPct * L3) + L6</f>
        <v>0</v>
      </c>
      <c r="M5" s="5">
        <f>FixedOpEx + (OpExVarPct * M3) + M6</f>
        <v>0</v>
      </c>
      <c r="N5" s="5">
        <f>FixedOpEx + (OpExVarPct * N3) + N6</f>
        <v>0</v>
      </c>
      <c r="O5" s="5">
        <f>FixedOpEx + (OpExVarPct * O3) + O6</f>
        <v>0</v>
      </c>
      <c r="P5" s="5">
        <f>FixedOpEx + (OpExVarPct * P3) + P6</f>
        <v>0</v>
      </c>
      <c r="Q5" s="5">
        <f>FixedOpEx + (OpExVarPct * Q3) + Q6</f>
        <v>0</v>
      </c>
      <c r="R5" s="5">
        <f>FixedOpEx + (OpExVarPct * R3) + R6</f>
        <v>0</v>
      </c>
      <c r="S5" s="5">
        <f>FixedOpEx + (OpExVarPct * S3) + S6</f>
        <v>0</v>
      </c>
      <c r="T5" s="5">
        <f>FixedOpEx + (OpExVarPct * T3) + T6</f>
        <v>0</v>
      </c>
      <c r="U5" s="5">
        <f>FixedOpEx + (OpExVarPct * U3) + U6</f>
        <v>0</v>
      </c>
      <c r="V5" s="5">
        <f>FixedOpEx + (OpExVarPct * V3) + V6</f>
        <v>0</v>
      </c>
      <c r="W5" s="5">
        <f>FixedOpEx + (OpExVarPct * W3) + W6</f>
        <v>0</v>
      </c>
      <c r="X5" s="5">
        <f>FixedOpEx + (OpExVarPct * X3) + X6</f>
        <v>0</v>
      </c>
      <c r="Y5" s="5">
        <f>FixedOpEx + (OpExVarPct * Y3) + Y6</f>
        <v>0</v>
      </c>
      <c r="Z5" s="5">
        <f>FixedOpEx + (OpExVarPct * Z3) + Z6</f>
        <v>0</v>
      </c>
      <c r="AA5" s="5">
        <f>FixedOpEx + (OpExVarPct * AA3) + AA6</f>
        <v>0</v>
      </c>
      <c r="AB5" s="5">
        <f>FixedOpEx + (OpExVarPct * AB3) + AB6</f>
        <v>0</v>
      </c>
      <c r="AC5" s="5">
        <f>FixedOpEx + (OpExVarPct * AC3) + AC6</f>
        <v>0</v>
      </c>
      <c r="AD5" s="5">
        <f>FixedOpEx + (OpExVarPct * AD3) + AD6</f>
        <v>0</v>
      </c>
      <c r="AE5" s="5">
        <f>FixedOpEx + (OpExVarPct * AE3) + AE6</f>
        <v>0</v>
      </c>
      <c r="AF5" s="5">
        <f>FixedOpEx + (OpExVarPct * AF3) + AF6</f>
        <v>0</v>
      </c>
      <c r="AG5" s="5">
        <f>FixedOpEx + (OpExVarPct * AG3) + AG6</f>
        <v>0</v>
      </c>
      <c r="AH5" s="5">
        <f>FixedOpEx + (OpExVarPct * AH3) + AH6</f>
        <v>0</v>
      </c>
      <c r="AI5" s="5">
        <f>FixedOpEx + (OpExVarPct * AI3) + AI6</f>
        <v>0</v>
      </c>
      <c r="AJ5" s="5">
        <f>FixedOpEx + (OpExVarPct * AJ3) + AJ6</f>
        <v>0</v>
      </c>
      <c r="AK5" s="5">
        <f>FixedOpEx + (OpExVarPct * AK3) + AK6</f>
        <v>0</v>
      </c>
    </row>
    <row r="6" spans="1:37">
      <c r="A6" s="2" t="s">
        <v>132</v>
      </c>
      <c r="B6" s="5">
        <f>B7 * AvgSalary</f>
        <v>0</v>
      </c>
      <c r="C6" s="5">
        <f>C7 * AvgSalary</f>
        <v>0</v>
      </c>
      <c r="D6" s="5">
        <f>D7 * AvgSalary</f>
        <v>0</v>
      </c>
      <c r="E6" s="5">
        <f>E7 * AvgSalary</f>
        <v>0</v>
      </c>
      <c r="F6" s="5">
        <f>F7 * AvgSalary</f>
        <v>0</v>
      </c>
      <c r="G6" s="5">
        <f>G7 * AvgSalary</f>
        <v>0</v>
      </c>
      <c r="H6" s="5">
        <f>H7 * AvgSalary</f>
        <v>0</v>
      </c>
      <c r="I6" s="5">
        <f>I7 * AvgSalary</f>
        <v>0</v>
      </c>
      <c r="J6" s="5">
        <f>J7 * AvgSalary</f>
        <v>0</v>
      </c>
      <c r="K6" s="5">
        <f>K7 * AvgSalary</f>
        <v>0</v>
      </c>
      <c r="L6" s="5">
        <f>L7 * AvgSalary</f>
        <v>0</v>
      </c>
      <c r="M6" s="5">
        <f>M7 * AvgSalary</f>
        <v>0</v>
      </c>
      <c r="N6" s="5">
        <f>N7 * AvgSalary</f>
        <v>0</v>
      </c>
      <c r="O6" s="5">
        <f>O7 * AvgSalary</f>
        <v>0</v>
      </c>
      <c r="P6" s="5">
        <f>P7 * AvgSalary</f>
        <v>0</v>
      </c>
      <c r="Q6" s="5">
        <f>Q7 * AvgSalary</f>
        <v>0</v>
      </c>
      <c r="R6" s="5">
        <f>R7 * AvgSalary</f>
        <v>0</v>
      </c>
      <c r="S6" s="5">
        <f>S7 * AvgSalary</f>
        <v>0</v>
      </c>
      <c r="T6" s="5">
        <f>T7 * AvgSalary</f>
        <v>0</v>
      </c>
      <c r="U6" s="5">
        <f>U7 * AvgSalary</f>
        <v>0</v>
      </c>
      <c r="V6" s="5">
        <f>V7 * AvgSalary</f>
        <v>0</v>
      </c>
      <c r="W6" s="5">
        <f>W7 * AvgSalary</f>
        <v>0</v>
      </c>
      <c r="X6" s="5">
        <f>X7 * AvgSalary</f>
        <v>0</v>
      </c>
      <c r="Y6" s="5">
        <f>Y7 * AvgSalary</f>
        <v>0</v>
      </c>
      <c r="Z6" s="5">
        <f>Z7 * AvgSalary</f>
        <v>0</v>
      </c>
      <c r="AA6" s="5">
        <f>AA7 * AvgSalary</f>
        <v>0</v>
      </c>
      <c r="AB6" s="5">
        <f>AB7 * AvgSalary</f>
        <v>0</v>
      </c>
      <c r="AC6" s="5">
        <f>AC7 * AvgSalary</f>
        <v>0</v>
      </c>
      <c r="AD6" s="5">
        <f>AD7 * AvgSalary</f>
        <v>0</v>
      </c>
      <c r="AE6" s="5">
        <f>AE7 * AvgSalary</f>
        <v>0</v>
      </c>
      <c r="AF6" s="5">
        <f>AF7 * AvgSalary</f>
        <v>0</v>
      </c>
      <c r="AG6" s="5">
        <f>AG7 * AvgSalary</f>
        <v>0</v>
      </c>
      <c r="AH6" s="5">
        <f>AH7 * AvgSalary</f>
        <v>0</v>
      </c>
      <c r="AI6" s="5">
        <f>AI7 * AvgSalary</f>
        <v>0</v>
      </c>
      <c r="AJ6" s="5">
        <f>AJ7 * AvgSalary</f>
        <v>0</v>
      </c>
      <c r="AK6" s="5">
        <f>AK7 * AvgSalary</f>
        <v>0</v>
      </c>
    </row>
    <row r="7" spans="1:37">
      <c r="A7" s="2" t="s">
        <v>133</v>
      </c>
      <c r="B7" s="7">
        <f>HC_Start + INT(HiringRate * (B2-1))</f>
        <v>0</v>
      </c>
      <c r="C7" s="7">
        <f>HC_Start + INT(HiringRate * (C2-1))</f>
        <v>0</v>
      </c>
      <c r="D7" s="7">
        <f>HC_Start + INT(HiringRate * (D2-1))</f>
        <v>0</v>
      </c>
      <c r="E7" s="7">
        <f>HC_Start + INT(HiringRate * (E2-1))</f>
        <v>0</v>
      </c>
      <c r="F7" s="7">
        <f>HC_Start + INT(HiringRate * (F2-1))</f>
        <v>0</v>
      </c>
      <c r="G7" s="7">
        <f>HC_Start + INT(HiringRate * (G2-1))</f>
        <v>0</v>
      </c>
      <c r="H7" s="7">
        <f>HC_Start + INT(HiringRate * (H2-1))</f>
        <v>0</v>
      </c>
      <c r="I7" s="7">
        <f>HC_Start + INT(HiringRate * (I2-1))</f>
        <v>0</v>
      </c>
      <c r="J7" s="7">
        <f>HC_Start + INT(HiringRate * (J2-1))</f>
        <v>0</v>
      </c>
      <c r="K7" s="7">
        <f>HC_Start + INT(HiringRate * (K2-1))</f>
        <v>0</v>
      </c>
      <c r="L7" s="7">
        <f>HC_Start + INT(HiringRate * (L2-1))</f>
        <v>0</v>
      </c>
      <c r="M7" s="7">
        <f>HC_Start + INT(HiringRate * (M2-1))</f>
        <v>0</v>
      </c>
      <c r="N7" s="7">
        <f>HC_Start + INT(HiringRate * (N2-1))</f>
        <v>0</v>
      </c>
      <c r="O7" s="7">
        <f>HC_Start + INT(HiringRate * (O2-1))</f>
        <v>0</v>
      </c>
      <c r="P7" s="7">
        <f>HC_Start + INT(HiringRate * (P2-1))</f>
        <v>0</v>
      </c>
      <c r="Q7" s="7">
        <f>HC_Start + INT(HiringRate * (Q2-1))</f>
        <v>0</v>
      </c>
      <c r="R7" s="7">
        <f>HC_Start + INT(HiringRate * (R2-1))</f>
        <v>0</v>
      </c>
      <c r="S7" s="7">
        <f>HC_Start + INT(HiringRate * (S2-1))</f>
        <v>0</v>
      </c>
      <c r="T7" s="7">
        <f>HC_Start + INT(HiringRate * (T2-1))</f>
        <v>0</v>
      </c>
      <c r="U7" s="7">
        <f>HC_Start + INT(HiringRate * (U2-1))</f>
        <v>0</v>
      </c>
      <c r="V7" s="7">
        <f>HC_Start + INT(HiringRate * (V2-1))</f>
        <v>0</v>
      </c>
      <c r="W7" s="7">
        <f>HC_Start + INT(HiringRate * (W2-1))</f>
        <v>0</v>
      </c>
      <c r="X7" s="7">
        <f>HC_Start + INT(HiringRate * (X2-1))</f>
        <v>0</v>
      </c>
      <c r="Y7" s="7">
        <f>HC_Start + INT(HiringRate * (Y2-1))</f>
        <v>0</v>
      </c>
      <c r="Z7" s="7">
        <f>HC_Start + INT(HiringRate * (Z2-1))</f>
        <v>0</v>
      </c>
      <c r="AA7" s="7">
        <f>HC_Start + INT(HiringRate * (AA2-1))</f>
        <v>0</v>
      </c>
      <c r="AB7" s="7">
        <f>HC_Start + INT(HiringRate * (AB2-1))</f>
        <v>0</v>
      </c>
      <c r="AC7" s="7">
        <f>HC_Start + INT(HiringRate * (AC2-1))</f>
        <v>0</v>
      </c>
      <c r="AD7" s="7">
        <f>HC_Start + INT(HiringRate * (AD2-1))</f>
        <v>0</v>
      </c>
      <c r="AE7" s="7">
        <f>HC_Start + INT(HiringRate * (AE2-1))</f>
        <v>0</v>
      </c>
      <c r="AF7" s="7">
        <f>HC_Start + INT(HiringRate * (AF2-1))</f>
        <v>0</v>
      </c>
      <c r="AG7" s="7">
        <f>HC_Start + INT(HiringRate * (AG2-1))</f>
        <v>0</v>
      </c>
      <c r="AH7" s="7">
        <f>HC_Start + INT(HiringRate * (AH2-1))</f>
        <v>0</v>
      </c>
      <c r="AI7" s="7">
        <f>HC_Start + INT(HiringRate * (AI2-1))</f>
        <v>0</v>
      </c>
      <c r="AJ7" s="7">
        <f>HC_Start + INT(HiringRate * (AJ2-1))</f>
        <v>0</v>
      </c>
      <c r="AK7" s="7">
        <f>HC_Start + INT(HiringRate * (AK2-1))</f>
        <v>0</v>
      </c>
    </row>
    <row r="8" spans="1:37">
      <c r="A8" s="2" t="s">
        <v>134</v>
      </c>
      <c r="B8" s="5">
        <f>B3 - B4 - B5</f>
        <v>0</v>
      </c>
      <c r="C8" s="5">
        <f>C3 - C4 - C5</f>
        <v>0</v>
      </c>
      <c r="D8" s="5">
        <f>D3 - D4 - D5</f>
        <v>0</v>
      </c>
      <c r="E8" s="5">
        <f>E3 - E4 - E5</f>
        <v>0</v>
      </c>
      <c r="F8" s="5">
        <f>F3 - F4 - F5</f>
        <v>0</v>
      </c>
      <c r="G8" s="5">
        <f>G3 - G4 - G5</f>
        <v>0</v>
      </c>
      <c r="H8" s="5">
        <f>H3 - H4 - H5</f>
        <v>0</v>
      </c>
      <c r="I8" s="5">
        <f>I3 - I4 - I5</f>
        <v>0</v>
      </c>
      <c r="J8" s="5">
        <f>J3 - J4 - J5</f>
        <v>0</v>
      </c>
      <c r="K8" s="5">
        <f>K3 - K4 - K5</f>
        <v>0</v>
      </c>
      <c r="L8" s="5">
        <f>L3 - L4 - L5</f>
        <v>0</v>
      </c>
      <c r="M8" s="5">
        <f>M3 - M4 - M5</f>
        <v>0</v>
      </c>
      <c r="N8" s="5">
        <f>N3 - N4 - N5</f>
        <v>0</v>
      </c>
      <c r="O8" s="5">
        <f>O3 - O4 - O5</f>
        <v>0</v>
      </c>
      <c r="P8" s="5">
        <f>P3 - P4 - P5</f>
        <v>0</v>
      </c>
      <c r="Q8" s="5">
        <f>Q3 - Q4 - Q5</f>
        <v>0</v>
      </c>
      <c r="R8" s="5">
        <f>R3 - R4 - R5</f>
        <v>0</v>
      </c>
      <c r="S8" s="5">
        <f>S3 - S4 - S5</f>
        <v>0</v>
      </c>
      <c r="T8" s="5">
        <f>T3 - T4 - T5</f>
        <v>0</v>
      </c>
      <c r="U8" s="5">
        <f>U3 - U4 - U5</f>
        <v>0</v>
      </c>
      <c r="V8" s="5">
        <f>V3 - V4 - V5</f>
        <v>0</v>
      </c>
      <c r="W8" s="5">
        <f>W3 - W4 - W5</f>
        <v>0</v>
      </c>
      <c r="X8" s="5">
        <f>X3 - X4 - X5</f>
        <v>0</v>
      </c>
      <c r="Y8" s="5">
        <f>Y3 - Y4 - Y5</f>
        <v>0</v>
      </c>
      <c r="Z8" s="5">
        <f>Z3 - Z4 - Z5</f>
        <v>0</v>
      </c>
      <c r="AA8" s="5">
        <f>AA3 - AA4 - AA5</f>
        <v>0</v>
      </c>
      <c r="AB8" s="5">
        <f>AB3 - AB4 - AB5</f>
        <v>0</v>
      </c>
      <c r="AC8" s="5">
        <f>AC3 - AC4 - AC5</f>
        <v>0</v>
      </c>
      <c r="AD8" s="5">
        <f>AD3 - AD4 - AD5</f>
        <v>0</v>
      </c>
      <c r="AE8" s="5">
        <f>AE3 - AE4 - AE5</f>
        <v>0</v>
      </c>
      <c r="AF8" s="5">
        <f>AF3 - AF4 - AF5</f>
        <v>0</v>
      </c>
      <c r="AG8" s="5">
        <f>AG3 - AG4 - AG5</f>
        <v>0</v>
      </c>
      <c r="AH8" s="5">
        <f>AH3 - AH4 - AH5</f>
        <v>0</v>
      </c>
      <c r="AI8" s="5">
        <f>AI3 - AI4 - AI5</f>
        <v>0</v>
      </c>
      <c r="AJ8" s="5">
        <f>AJ3 - AJ4 - AJ5</f>
        <v>0</v>
      </c>
      <c r="AK8" s="5">
        <f>AK3 - AK4 - AK5</f>
        <v>0</v>
      </c>
    </row>
    <row r="9" spans="1:37">
      <c r="A9" s="2" t="s">
        <v>135</v>
      </c>
      <c r="B9" s="5">
        <f>0.0 * INDEX(Scenario_Table,MATCH(ScenarioSelector,INDEX(Scenario_Table,,1),0),6)</f>
        <v>0</v>
      </c>
      <c r="C9" s="5">
        <f>0.0 * INDEX(Scenario_Table,MATCH(ScenarioSelector,INDEX(Scenario_Table,,1),0),6)</f>
        <v>0</v>
      </c>
      <c r="D9" s="5">
        <f>50000.0 * INDEX(Scenario_Table,MATCH(ScenarioSelector,INDEX(Scenario_Table,,1),0),6)</f>
        <v>0</v>
      </c>
      <c r="E9" s="5">
        <f>0.0 * INDEX(Scenario_Table,MATCH(ScenarioSelector,INDEX(Scenario_Table,,1),0),6)</f>
        <v>0</v>
      </c>
      <c r="F9" s="5">
        <f>0.0 * INDEX(Scenario_Table,MATCH(ScenarioSelector,INDEX(Scenario_Table,,1),0),6)</f>
        <v>0</v>
      </c>
      <c r="G9" s="5">
        <f>0.0 * INDEX(Scenario_Table,MATCH(ScenarioSelector,INDEX(Scenario_Table,,1),0),6)</f>
        <v>0</v>
      </c>
      <c r="H9" s="5">
        <f>0.0 * INDEX(Scenario_Table,MATCH(ScenarioSelector,INDEX(Scenario_Table,,1),0),6)</f>
        <v>0</v>
      </c>
      <c r="I9" s="5">
        <f>0.0 * INDEX(Scenario_Table,MATCH(ScenarioSelector,INDEX(Scenario_Table,,1),0),6)</f>
        <v>0</v>
      </c>
      <c r="J9" s="5">
        <f>75000.0 * INDEX(Scenario_Table,MATCH(ScenarioSelector,INDEX(Scenario_Table,,1),0),6)</f>
        <v>0</v>
      </c>
      <c r="K9" s="5">
        <f>0.0 * INDEX(Scenario_Table,MATCH(ScenarioSelector,INDEX(Scenario_Table,,1),0),6)</f>
        <v>0</v>
      </c>
      <c r="L9" s="5">
        <f>0.0 * INDEX(Scenario_Table,MATCH(ScenarioSelector,INDEX(Scenario_Table,,1),0),6)</f>
        <v>0</v>
      </c>
      <c r="M9" s="5">
        <f>0.0 * INDEX(Scenario_Table,MATCH(ScenarioSelector,INDEX(Scenario_Table,,1),0),6)</f>
        <v>0</v>
      </c>
      <c r="N9" s="5">
        <f>0.0 * INDEX(Scenario_Table,MATCH(ScenarioSelector,INDEX(Scenario_Table,,1),0),6)</f>
        <v>0</v>
      </c>
      <c r="O9" s="5">
        <f>0.0 * INDEX(Scenario_Table,MATCH(ScenarioSelector,INDEX(Scenario_Table,,1),0),6)</f>
        <v>0</v>
      </c>
      <c r="P9" s="5">
        <f>50000.0 * INDEX(Scenario_Table,MATCH(ScenarioSelector,INDEX(Scenario_Table,,1),0),6)</f>
        <v>0</v>
      </c>
      <c r="Q9" s="5">
        <f>0.0 * INDEX(Scenario_Table,MATCH(ScenarioSelector,INDEX(Scenario_Table,,1),0),6)</f>
        <v>0</v>
      </c>
      <c r="R9" s="5">
        <f>0.0 * INDEX(Scenario_Table,MATCH(ScenarioSelector,INDEX(Scenario_Table,,1),0),6)</f>
        <v>0</v>
      </c>
      <c r="S9" s="5">
        <f>0.0 * INDEX(Scenario_Table,MATCH(ScenarioSelector,INDEX(Scenario_Table,,1),0),6)</f>
        <v>0</v>
      </c>
      <c r="T9" s="5">
        <f>0.0 * INDEX(Scenario_Table,MATCH(ScenarioSelector,INDEX(Scenario_Table,,1),0),6)</f>
        <v>0</v>
      </c>
      <c r="U9" s="5">
        <f>0.0 * INDEX(Scenario_Table,MATCH(ScenarioSelector,INDEX(Scenario_Table,,1),0),6)</f>
        <v>0</v>
      </c>
      <c r="V9" s="5">
        <f>0.0 * INDEX(Scenario_Table,MATCH(ScenarioSelector,INDEX(Scenario_Table,,1),0),6)</f>
        <v>0</v>
      </c>
      <c r="W9" s="5">
        <f>0.0 * INDEX(Scenario_Table,MATCH(ScenarioSelector,INDEX(Scenario_Table,,1),0),6)</f>
        <v>0</v>
      </c>
      <c r="X9" s="5">
        <f>0.0 * INDEX(Scenario_Table,MATCH(ScenarioSelector,INDEX(Scenario_Table,,1),0),6)</f>
        <v>0</v>
      </c>
      <c r="Y9" s="5">
        <f>0.0 * INDEX(Scenario_Table,MATCH(ScenarioSelector,INDEX(Scenario_Table,,1),0),6)</f>
        <v>0</v>
      </c>
      <c r="Z9" s="5">
        <f>100000.0 * INDEX(Scenario_Table,MATCH(ScenarioSelector,INDEX(Scenario_Table,,1),0),6)</f>
        <v>0</v>
      </c>
      <c r="AA9" s="5">
        <f>0.0 * INDEX(Scenario_Table,MATCH(ScenarioSelector,INDEX(Scenario_Table,,1),0),6)</f>
        <v>0</v>
      </c>
      <c r="AB9" s="5">
        <f>0.0 * INDEX(Scenario_Table,MATCH(ScenarioSelector,INDEX(Scenario_Table,,1),0),6)</f>
        <v>0</v>
      </c>
      <c r="AC9" s="5">
        <f>0.0 * INDEX(Scenario_Table,MATCH(ScenarioSelector,INDEX(Scenario_Table,,1),0),6)</f>
        <v>0</v>
      </c>
      <c r="AD9" s="5">
        <f>0.0 * INDEX(Scenario_Table,MATCH(ScenarioSelector,INDEX(Scenario_Table,,1),0),6)</f>
        <v>0</v>
      </c>
      <c r="AE9" s="5">
        <f>0.0 * INDEX(Scenario_Table,MATCH(ScenarioSelector,INDEX(Scenario_Table,,1),0),6)</f>
        <v>0</v>
      </c>
      <c r="AF9" s="5">
        <f>0.0 * INDEX(Scenario_Table,MATCH(ScenarioSelector,INDEX(Scenario_Table,,1),0),6)</f>
        <v>0</v>
      </c>
      <c r="AG9" s="5">
        <f>0.0 * INDEX(Scenario_Table,MATCH(ScenarioSelector,INDEX(Scenario_Table,,1),0),6)</f>
        <v>0</v>
      </c>
      <c r="AH9" s="5">
        <f>0.0 * INDEX(Scenario_Table,MATCH(ScenarioSelector,INDEX(Scenario_Table,,1),0),6)</f>
        <v>0</v>
      </c>
      <c r="AI9" s="5">
        <f>0.0 * INDEX(Scenario_Table,MATCH(ScenarioSelector,INDEX(Scenario_Table,,1),0),6)</f>
        <v>0</v>
      </c>
      <c r="AJ9" s="5">
        <f>0.0 * INDEX(Scenario_Table,MATCH(ScenarioSelector,INDEX(Scenario_Table,,1),0),6)</f>
        <v>0</v>
      </c>
      <c r="AK9" s="5">
        <f>0.0 * INDEX(Scenario_Table,MATCH(ScenarioSelector,INDEX(Scenario_Table,,1),0),6)</f>
        <v>0</v>
      </c>
    </row>
    <row r="10" spans="1:37">
      <c r="A10" s="2" t="s">
        <v>136</v>
      </c>
      <c r="B10" s="5">
        <f>INDEX(DeprStream, 1)</f>
        <v>0</v>
      </c>
      <c r="C10" s="5">
        <f>INDEX(DeprStream, 2)</f>
        <v>0</v>
      </c>
      <c r="D10" s="5">
        <f>INDEX(DeprStream, 3)</f>
        <v>0</v>
      </c>
      <c r="E10" s="5">
        <f>INDEX(DeprStream, 4)</f>
        <v>0</v>
      </c>
      <c r="F10" s="5">
        <f>INDEX(DeprStream, 5)</f>
        <v>0</v>
      </c>
      <c r="G10" s="5">
        <f>INDEX(DeprStream, 6)</f>
        <v>0</v>
      </c>
      <c r="H10" s="5">
        <f>INDEX(DeprStream, 7)</f>
        <v>0</v>
      </c>
      <c r="I10" s="5">
        <f>INDEX(DeprStream, 8)</f>
        <v>0</v>
      </c>
      <c r="J10" s="5">
        <f>INDEX(DeprStream, 9)</f>
        <v>0</v>
      </c>
      <c r="K10" s="5">
        <f>INDEX(DeprStream, 10)</f>
        <v>0</v>
      </c>
      <c r="L10" s="5">
        <f>INDEX(DeprStream, 11)</f>
        <v>0</v>
      </c>
      <c r="M10" s="5">
        <f>INDEX(DeprStream, 12)</f>
        <v>0</v>
      </c>
      <c r="N10" s="5">
        <f>INDEX(DeprStream, 13)</f>
        <v>0</v>
      </c>
      <c r="O10" s="5">
        <f>INDEX(DeprStream, 14)</f>
        <v>0</v>
      </c>
      <c r="P10" s="5">
        <f>INDEX(DeprStream, 15)</f>
        <v>0</v>
      </c>
      <c r="Q10" s="5">
        <f>INDEX(DeprStream, 16)</f>
        <v>0</v>
      </c>
      <c r="R10" s="5">
        <f>INDEX(DeprStream, 17)</f>
        <v>0</v>
      </c>
      <c r="S10" s="5">
        <f>INDEX(DeprStream, 18)</f>
        <v>0</v>
      </c>
      <c r="T10" s="5">
        <f>INDEX(DeprStream, 19)</f>
        <v>0</v>
      </c>
      <c r="U10" s="5">
        <f>INDEX(DeprStream, 20)</f>
        <v>0</v>
      </c>
      <c r="V10" s="5">
        <f>INDEX(DeprStream, 21)</f>
        <v>0</v>
      </c>
      <c r="W10" s="5">
        <f>INDEX(DeprStream, 22)</f>
        <v>0</v>
      </c>
      <c r="X10" s="5">
        <f>INDEX(DeprStream, 23)</f>
        <v>0</v>
      </c>
      <c r="Y10" s="5">
        <f>INDEX(DeprStream, 24)</f>
        <v>0</v>
      </c>
      <c r="Z10" s="5">
        <f>INDEX(DeprStream, 25)</f>
        <v>0</v>
      </c>
      <c r="AA10" s="5">
        <f>INDEX(DeprStream, 26)</f>
        <v>0</v>
      </c>
      <c r="AB10" s="5">
        <f>INDEX(DeprStream, 27)</f>
        <v>0</v>
      </c>
      <c r="AC10" s="5">
        <f>INDEX(DeprStream, 28)</f>
        <v>0</v>
      </c>
      <c r="AD10" s="5">
        <f>INDEX(DeprStream, 29)</f>
        <v>0</v>
      </c>
      <c r="AE10" s="5">
        <f>INDEX(DeprStream, 30)</f>
        <v>0</v>
      </c>
      <c r="AF10" s="5">
        <f>INDEX(DeprStream, 31)</f>
        <v>0</v>
      </c>
      <c r="AG10" s="5">
        <f>INDEX(DeprStream, 32)</f>
        <v>0</v>
      </c>
      <c r="AH10" s="5">
        <f>INDEX(DeprStream, 33)</f>
        <v>0</v>
      </c>
      <c r="AI10" s="5">
        <f>INDEX(DeprStream, 34)</f>
        <v>0</v>
      </c>
      <c r="AJ10" s="5">
        <f>INDEX(DeprStream, 35)</f>
        <v>0</v>
      </c>
      <c r="AK10" s="5">
        <f>INDEX(DeprStream, 36)</f>
        <v>0</v>
      </c>
    </row>
    <row r="11" spans="1:37">
      <c r="A11" s="2" t="s">
        <v>137</v>
      </c>
      <c r="B11" s="5">
        <f>B8 - B10</f>
        <v>0</v>
      </c>
      <c r="C11" s="5">
        <f>C8 - C10</f>
        <v>0</v>
      </c>
      <c r="D11" s="5">
        <f>D8 - D10</f>
        <v>0</v>
      </c>
      <c r="E11" s="5">
        <f>E8 - E10</f>
        <v>0</v>
      </c>
      <c r="F11" s="5">
        <f>F8 - F10</f>
        <v>0</v>
      </c>
      <c r="G11" s="5">
        <f>G8 - G10</f>
        <v>0</v>
      </c>
      <c r="H11" s="5">
        <f>H8 - H10</f>
        <v>0</v>
      </c>
      <c r="I11" s="5">
        <f>I8 - I10</f>
        <v>0</v>
      </c>
      <c r="J11" s="5">
        <f>J8 - J10</f>
        <v>0</v>
      </c>
      <c r="K11" s="5">
        <f>K8 - K10</f>
        <v>0</v>
      </c>
      <c r="L11" s="5">
        <f>L8 - L10</f>
        <v>0</v>
      </c>
      <c r="M11" s="5">
        <f>M8 - M10</f>
        <v>0</v>
      </c>
      <c r="N11" s="5">
        <f>N8 - N10</f>
        <v>0</v>
      </c>
      <c r="O11" s="5">
        <f>O8 - O10</f>
        <v>0</v>
      </c>
      <c r="P11" s="5">
        <f>P8 - P10</f>
        <v>0</v>
      </c>
      <c r="Q11" s="5">
        <f>Q8 - Q10</f>
        <v>0</v>
      </c>
      <c r="R11" s="5">
        <f>R8 - R10</f>
        <v>0</v>
      </c>
      <c r="S11" s="5">
        <f>S8 - S10</f>
        <v>0</v>
      </c>
      <c r="T11" s="5">
        <f>T8 - T10</f>
        <v>0</v>
      </c>
      <c r="U11" s="5">
        <f>U8 - U10</f>
        <v>0</v>
      </c>
      <c r="V11" s="5">
        <f>V8 - V10</f>
        <v>0</v>
      </c>
      <c r="W11" s="5">
        <f>W8 - W10</f>
        <v>0</v>
      </c>
      <c r="X11" s="5">
        <f>X8 - X10</f>
        <v>0</v>
      </c>
      <c r="Y11" s="5">
        <f>Y8 - Y10</f>
        <v>0</v>
      </c>
      <c r="Z11" s="5">
        <f>Z8 - Z10</f>
        <v>0</v>
      </c>
      <c r="AA11" s="5">
        <f>AA8 - AA10</f>
        <v>0</v>
      </c>
      <c r="AB11" s="5">
        <f>AB8 - AB10</f>
        <v>0</v>
      </c>
      <c r="AC11" s="5">
        <f>AC8 - AC10</f>
        <v>0</v>
      </c>
      <c r="AD11" s="5">
        <f>AD8 - AD10</f>
        <v>0</v>
      </c>
      <c r="AE11" s="5">
        <f>AE8 - AE10</f>
        <v>0</v>
      </c>
      <c r="AF11" s="5">
        <f>AF8 - AF10</f>
        <v>0</v>
      </c>
      <c r="AG11" s="5">
        <f>AG8 - AG10</f>
        <v>0</v>
      </c>
      <c r="AH11" s="5">
        <f>AH8 - AH10</f>
        <v>0</v>
      </c>
      <c r="AI11" s="5">
        <f>AI8 - AI10</f>
        <v>0</v>
      </c>
      <c r="AJ11" s="5">
        <f>AJ8 - AJ10</f>
        <v>0</v>
      </c>
      <c r="AK11" s="5">
        <f>AK8 - AK10</f>
        <v>0</v>
      </c>
    </row>
    <row r="12" spans="1:37">
      <c r="A12" s="2" t="s">
        <v>138</v>
      </c>
      <c r="B12" s="5">
        <f>MAX(0, B11 * TaxRate)</f>
        <v>0</v>
      </c>
      <c r="C12" s="5">
        <f>MAX(0, C11 * TaxRate)</f>
        <v>0</v>
      </c>
      <c r="D12" s="5">
        <f>MAX(0, D11 * TaxRate)</f>
        <v>0</v>
      </c>
      <c r="E12" s="5">
        <f>MAX(0, E11 * TaxRate)</f>
        <v>0</v>
      </c>
      <c r="F12" s="5">
        <f>MAX(0, F11 * TaxRate)</f>
        <v>0</v>
      </c>
      <c r="G12" s="5">
        <f>MAX(0, G11 * TaxRate)</f>
        <v>0</v>
      </c>
      <c r="H12" s="5">
        <f>MAX(0, H11 * TaxRate)</f>
        <v>0</v>
      </c>
      <c r="I12" s="5">
        <f>MAX(0, I11 * TaxRate)</f>
        <v>0</v>
      </c>
      <c r="J12" s="5">
        <f>MAX(0, J11 * TaxRate)</f>
        <v>0</v>
      </c>
      <c r="K12" s="5">
        <f>MAX(0, K11 * TaxRate)</f>
        <v>0</v>
      </c>
      <c r="L12" s="5">
        <f>MAX(0, L11 * TaxRate)</f>
        <v>0</v>
      </c>
      <c r="M12" s="5">
        <f>MAX(0, M11 * TaxRate)</f>
        <v>0</v>
      </c>
      <c r="N12" s="5">
        <f>MAX(0, N11 * TaxRate)</f>
        <v>0</v>
      </c>
      <c r="O12" s="5">
        <f>MAX(0, O11 * TaxRate)</f>
        <v>0</v>
      </c>
      <c r="P12" s="5">
        <f>MAX(0, P11 * TaxRate)</f>
        <v>0</v>
      </c>
      <c r="Q12" s="5">
        <f>MAX(0, Q11 * TaxRate)</f>
        <v>0</v>
      </c>
      <c r="R12" s="5">
        <f>MAX(0, R11 * TaxRate)</f>
        <v>0</v>
      </c>
      <c r="S12" s="5">
        <f>MAX(0, S11 * TaxRate)</f>
        <v>0</v>
      </c>
      <c r="T12" s="5">
        <f>MAX(0, T11 * TaxRate)</f>
        <v>0</v>
      </c>
      <c r="U12" s="5">
        <f>MAX(0, U11 * TaxRate)</f>
        <v>0</v>
      </c>
      <c r="V12" s="5">
        <f>MAX(0, V11 * TaxRate)</f>
        <v>0</v>
      </c>
      <c r="W12" s="5">
        <f>MAX(0, W11 * TaxRate)</f>
        <v>0</v>
      </c>
      <c r="X12" s="5">
        <f>MAX(0, X11 * TaxRate)</f>
        <v>0</v>
      </c>
      <c r="Y12" s="5">
        <f>MAX(0, Y11 * TaxRate)</f>
        <v>0</v>
      </c>
      <c r="Z12" s="5">
        <f>MAX(0, Z11 * TaxRate)</f>
        <v>0</v>
      </c>
      <c r="AA12" s="5">
        <f>MAX(0, AA11 * TaxRate)</f>
        <v>0</v>
      </c>
      <c r="AB12" s="5">
        <f>MAX(0, AB11 * TaxRate)</f>
        <v>0</v>
      </c>
      <c r="AC12" s="5">
        <f>MAX(0, AC11 * TaxRate)</f>
        <v>0</v>
      </c>
      <c r="AD12" s="5">
        <f>MAX(0, AD11 * TaxRate)</f>
        <v>0</v>
      </c>
      <c r="AE12" s="5">
        <f>MAX(0, AE11 * TaxRate)</f>
        <v>0</v>
      </c>
      <c r="AF12" s="5">
        <f>MAX(0, AF11 * TaxRate)</f>
        <v>0</v>
      </c>
      <c r="AG12" s="5">
        <f>MAX(0, AG11 * TaxRate)</f>
        <v>0</v>
      </c>
      <c r="AH12" s="5">
        <f>MAX(0, AH11 * TaxRate)</f>
        <v>0</v>
      </c>
      <c r="AI12" s="5">
        <f>MAX(0, AI11 * TaxRate)</f>
        <v>0</v>
      </c>
      <c r="AJ12" s="5">
        <f>MAX(0, AJ11 * TaxRate)</f>
        <v>0</v>
      </c>
      <c r="AK12" s="5">
        <f>MAX(0, AK11 * TaxRate)</f>
        <v>0</v>
      </c>
    </row>
    <row r="13" spans="1:37">
      <c r="A13" s="2" t="s">
        <v>139</v>
      </c>
      <c r="B13" s="5">
        <f>B11 - B12</f>
        <v>0</v>
      </c>
      <c r="C13" s="5">
        <f>C11 - C12</f>
        <v>0</v>
      </c>
      <c r="D13" s="5">
        <f>D11 - D12</f>
        <v>0</v>
      </c>
      <c r="E13" s="5">
        <f>E11 - E12</f>
        <v>0</v>
      </c>
      <c r="F13" s="5">
        <f>F11 - F12</f>
        <v>0</v>
      </c>
      <c r="G13" s="5">
        <f>G11 - G12</f>
        <v>0</v>
      </c>
      <c r="H13" s="5">
        <f>H11 - H12</f>
        <v>0</v>
      </c>
      <c r="I13" s="5">
        <f>I11 - I12</f>
        <v>0</v>
      </c>
      <c r="J13" s="5">
        <f>J11 - J12</f>
        <v>0</v>
      </c>
      <c r="K13" s="5">
        <f>K11 - K12</f>
        <v>0</v>
      </c>
      <c r="L13" s="5">
        <f>L11 - L12</f>
        <v>0</v>
      </c>
      <c r="M13" s="5">
        <f>M11 - M12</f>
        <v>0</v>
      </c>
      <c r="N13" s="5">
        <f>N11 - N12</f>
        <v>0</v>
      </c>
      <c r="O13" s="5">
        <f>O11 - O12</f>
        <v>0</v>
      </c>
      <c r="P13" s="5">
        <f>P11 - P12</f>
        <v>0</v>
      </c>
      <c r="Q13" s="5">
        <f>Q11 - Q12</f>
        <v>0</v>
      </c>
      <c r="R13" s="5">
        <f>R11 - R12</f>
        <v>0</v>
      </c>
      <c r="S13" s="5">
        <f>S11 - S12</f>
        <v>0</v>
      </c>
      <c r="T13" s="5">
        <f>T11 - T12</f>
        <v>0</v>
      </c>
      <c r="U13" s="5">
        <f>U11 - U12</f>
        <v>0</v>
      </c>
      <c r="V13" s="5">
        <f>V11 - V12</f>
        <v>0</v>
      </c>
      <c r="W13" s="5">
        <f>W11 - W12</f>
        <v>0</v>
      </c>
      <c r="X13" s="5">
        <f>X11 - X12</f>
        <v>0</v>
      </c>
      <c r="Y13" s="5">
        <f>Y11 - Y12</f>
        <v>0</v>
      </c>
      <c r="Z13" s="5">
        <f>Z11 - Z12</f>
        <v>0</v>
      </c>
      <c r="AA13" s="5">
        <f>AA11 - AA12</f>
        <v>0</v>
      </c>
      <c r="AB13" s="5">
        <f>AB11 - AB12</f>
        <v>0</v>
      </c>
      <c r="AC13" s="5">
        <f>AC11 - AC12</f>
        <v>0</v>
      </c>
      <c r="AD13" s="5">
        <f>AD11 - AD12</f>
        <v>0</v>
      </c>
      <c r="AE13" s="5">
        <f>AE11 - AE12</f>
        <v>0</v>
      </c>
      <c r="AF13" s="5">
        <f>AF11 - AF12</f>
        <v>0</v>
      </c>
      <c r="AG13" s="5">
        <f>AG11 - AG12</f>
        <v>0</v>
      </c>
      <c r="AH13" s="5">
        <f>AH11 - AH12</f>
        <v>0</v>
      </c>
      <c r="AI13" s="5">
        <f>AI11 - AI12</f>
        <v>0</v>
      </c>
      <c r="AJ13" s="5">
        <f>AJ11 - AJ12</f>
        <v>0</v>
      </c>
      <c r="AK13" s="5">
        <f>AK11 - AK12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FormatPr defaultRowHeight="15"/>
  <sheetData>
    <row r="1" spans="1:16">
      <c r="A1" s="2" t="s">
        <v>51</v>
      </c>
      <c r="B1" s="2" t="s">
        <v>129</v>
      </c>
      <c r="C1" s="2" t="s">
        <v>130</v>
      </c>
      <c r="D1" s="2" t="s">
        <v>131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144</v>
      </c>
      <c r="J1" s="2" t="s">
        <v>145</v>
      </c>
      <c r="K1" s="2" t="s">
        <v>146</v>
      </c>
      <c r="L1" s="2" t="s">
        <v>135</v>
      </c>
      <c r="M1" s="2" t="s">
        <v>147</v>
      </c>
      <c r="N1" s="2" t="s">
        <v>148</v>
      </c>
    </row>
    <row r="2" spans="1:16">
      <c r="A2" s="8" t="s">
        <v>53</v>
      </c>
      <c r="B2" s="5">
        <f>Engine!B3</f>
        <v>0</v>
      </c>
      <c r="C2" s="5">
        <f>Engine!B4</f>
        <v>0</v>
      </c>
      <c r="D2" s="7">
        <f>DSO</f>
        <v>0</v>
      </c>
      <c r="E2" s="7">
        <f>DSI</f>
        <v>0</v>
      </c>
      <c r="F2" s="7">
        <f>DPO</f>
        <v>0</v>
      </c>
      <c r="G2" s="5">
        <f>B2 / 365 * D2</f>
        <v>0</v>
      </c>
      <c r="H2" s="5">
        <f>C2 / 365 * E2</f>
        <v>0</v>
      </c>
      <c r="I2" s="5">
        <f>C2 / 365 * F2</f>
        <v>0</v>
      </c>
      <c r="J2" s="5">
        <f>G2 + H2 - I2</f>
        <v>0</v>
      </c>
      <c r="K2" s="5">
        <f>J2 - 0</f>
        <v>0</v>
      </c>
      <c r="L2" s="5">
        <f>Engine!B13</f>
        <v>0</v>
      </c>
      <c r="M2" s="5">
        <f>Engine!B10</f>
        <v>0</v>
      </c>
      <c r="N2" s="5">
        <f>Engine!B9</f>
        <v>0</v>
      </c>
      <c r="O2" s="5">
        <f>L2 + M2 - K2 - N2</f>
        <v>0</v>
      </c>
      <c r="P2" s="5">
        <f>InitCash + O2</f>
        <v>0</v>
      </c>
    </row>
    <row r="3" spans="1:16">
      <c r="A3" s="8" t="s">
        <v>54</v>
      </c>
      <c r="B3" s="5">
        <f>Engine!C3</f>
        <v>0</v>
      </c>
      <c r="C3" s="5">
        <f>Engine!C4</f>
        <v>0</v>
      </c>
      <c r="D3" s="7">
        <f>DSO</f>
        <v>0</v>
      </c>
      <c r="E3" s="7">
        <f>DSI</f>
        <v>0</v>
      </c>
      <c r="F3" s="7">
        <f>DPO</f>
        <v>0</v>
      </c>
      <c r="G3" s="5">
        <f>B3 / 365 * D3</f>
        <v>0</v>
      </c>
      <c r="H3" s="5">
        <f>C3 / 365 * E3</f>
        <v>0</v>
      </c>
      <c r="I3" s="5">
        <f>C3 / 365 * F3</f>
        <v>0</v>
      </c>
      <c r="J3" s="5">
        <f>G3 + H3 - I3</f>
        <v>0</v>
      </c>
      <c r="K3" s="5">
        <f>J3 - J2</f>
        <v>0</v>
      </c>
      <c r="L3" s="5">
        <f>Engine!C13</f>
        <v>0</v>
      </c>
      <c r="M3" s="5">
        <f>Engine!C10</f>
        <v>0</v>
      </c>
      <c r="N3" s="5">
        <f>Engine!C9</f>
        <v>0</v>
      </c>
      <c r="O3" s="5">
        <f>L3 + M3 - K3 - N3</f>
        <v>0</v>
      </c>
      <c r="P3" s="5">
        <f>P2 + O3</f>
        <v>0</v>
      </c>
    </row>
    <row r="4" spans="1:16">
      <c r="A4" s="8" t="s">
        <v>55</v>
      </c>
      <c r="B4" s="5">
        <f>Engine!D3</f>
        <v>0</v>
      </c>
      <c r="C4" s="5">
        <f>Engine!D4</f>
        <v>0</v>
      </c>
      <c r="D4" s="7">
        <f>DSO</f>
        <v>0</v>
      </c>
      <c r="E4" s="7">
        <f>DSI</f>
        <v>0</v>
      </c>
      <c r="F4" s="7">
        <f>DPO</f>
        <v>0</v>
      </c>
      <c r="G4" s="5">
        <f>B4 / 365 * D4</f>
        <v>0</v>
      </c>
      <c r="H4" s="5">
        <f>C4 / 365 * E4</f>
        <v>0</v>
      </c>
      <c r="I4" s="5">
        <f>C4 / 365 * F4</f>
        <v>0</v>
      </c>
      <c r="J4" s="5">
        <f>G4 + H4 - I4</f>
        <v>0</v>
      </c>
      <c r="K4" s="5">
        <f>J4 - J3</f>
        <v>0</v>
      </c>
      <c r="L4" s="5">
        <f>Engine!D13</f>
        <v>0</v>
      </c>
      <c r="M4" s="5">
        <f>Engine!D10</f>
        <v>0</v>
      </c>
      <c r="N4" s="5">
        <f>Engine!D9</f>
        <v>0</v>
      </c>
      <c r="O4" s="5">
        <f>L4 + M4 - K4 - N4</f>
        <v>0</v>
      </c>
      <c r="P4" s="5">
        <f>P3 + O4</f>
        <v>0</v>
      </c>
    </row>
    <row r="5" spans="1:16">
      <c r="A5" s="8" t="s">
        <v>56</v>
      </c>
      <c r="B5" s="5">
        <f>Engine!E3</f>
        <v>0</v>
      </c>
      <c r="C5" s="5">
        <f>Engine!E4</f>
        <v>0</v>
      </c>
      <c r="D5" s="7">
        <f>DSO</f>
        <v>0</v>
      </c>
      <c r="E5" s="7">
        <f>DSI</f>
        <v>0</v>
      </c>
      <c r="F5" s="7">
        <f>DPO</f>
        <v>0</v>
      </c>
      <c r="G5" s="5">
        <f>B5 / 365 * D5</f>
        <v>0</v>
      </c>
      <c r="H5" s="5">
        <f>C5 / 365 * E5</f>
        <v>0</v>
      </c>
      <c r="I5" s="5">
        <f>C5 / 365 * F5</f>
        <v>0</v>
      </c>
      <c r="J5" s="5">
        <f>G5 + H5 - I5</f>
        <v>0</v>
      </c>
      <c r="K5" s="5">
        <f>J5 - J4</f>
        <v>0</v>
      </c>
      <c r="L5" s="5">
        <f>Engine!E13</f>
        <v>0</v>
      </c>
      <c r="M5" s="5">
        <f>Engine!E10</f>
        <v>0</v>
      </c>
      <c r="N5" s="5">
        <f>Engine!E9</f>
        <v>0</v>
      </c>
      <c r="O5" s="5">
        <f>L5 + M5 - K5 - N5</f>
        <v>0</v>
      </c>
      <c r="P5" s="5">
        <f>P4 + O5</f>
        <v>0</v>
      </c>
    </row>
    <row r="6" spans="1:16">
      <c r="A6" s="8" t="s">
        <v>57</v>
      </c>
      <c r="B6" s="5">
        <f>Engine!F3</f>
        <v>0</v>
      </c>
      <c r="C6" s="5">
        <f>Engine!F4</f>
        <v>0</v>
      </c>
      <c r="D6" s="7">
        <f>DSO</f>
        <v>0</v>
      </c>
      <c r="E6" s="7">
        <f>DSI</f>
        <v>0</v>
      </c>
      <c r="F6" s="7">
        <f>DPO</f>
        <v>0</v>
      </c>
      <c r="G6" s="5">
        <f>B6 / 365 * D6</f>
        <v>0</v>
      </c>
      <c r="H6" s="5">
        <f>C6 / 365 * E6</f>
        <v>0</v>
      </c>
      <c r="I6" s="5">
        <f>C6 / 365 * F6</f>
        <v>0</v>
      </c>
      <c r="J6" s="5">
        <f>G6 + H6 - I6</f>
        <v>0</v>
      </c>
      <c r="K6" s="5">
        <f>J6 - J5</f>
        <v>0</v>
      </c>
      <c r="L6" s="5">
        <f>Engine!F13</f>
        <v>0</v>
      </c>
      <c r="M6" s="5">
        <f>Engine!F10</f>
        <v>0</v>
      </c>
      <c r="N6" s="5">
        <f>Engine!F9</f>
        <v>0</v>
      </c>
      <c r="O6" s="5">
        <f>L6 + M6 - K6 - N6</f>
        <v>0</v>
      </c>
      <c r="P6" s="5">
        <f>P5 + O6</f>
        <v>0</v>
      </c>
    </row>
    <row r="7" spans="1:16">
      <c r="A7" s="8" t="s">
        <v>58</v>
      </c>
      <c r="B7" s="5">
        <f>Engine!G3</f>
        <v>0</v>
      </c>
      <c r="C7" s="5">
        <f>Engine!G4</f>
        <v>0</v>
      </c>
      <c r="D7" s="7">
        <f>DSO</f>
        <v>0</v>
      </c>
      <c r="E7" s="7">
        <f>DSI</f>
        <v>0</v>
      </c>
      <c r="F7" s="7">
        <f>DPO</f>
        <v>0</v>
      </c>
      <c r="G7" s="5">
        <f>B7 / 365 * D7</f>
        <v>0</v>
      </c>
      <c r="H7" s="5">
        <f>C7 / 365 * E7</f>
        <v>0</v>
      </c>
      <c r="I7" s="5">
        <f>C7 / 365 * F7</f>
        <v>0</v>
      </c>
      <c r="J7" s="5">
        <f>G7 + H7 - I7</f>
        <v>0</v>
      </c>
      <c r="K7" s="5">
        <f>J7 - J6</f>
        <v>0</v>
      </c>
      <c r="L7" s="5">
        <f>Engine!G13</f>
        <v>0</v>
      </c>
      <c r="M7" s="5">
        <f>Engine!G10</f>
        <v>0</v>
      </c>
      <c r="N7" s="5">
        <f>Engine!G9</f>
        <v>0</v>
      </c>
      <c r="O7" s="5">
        <f>L7 + M7 - K7 - N7</f>
        <v>0</v>
      </c>
      <c r="P7" s="5">
        <f>P6 + O7</f>
        <v>0</v>
      </c>
    </row>
    <row r="8" spans="1:16">
      <c r="A8" s="8" t="s">
        <v>59</v>
      </c>
      <c r="B8" s="5">
        <f>Engine!H3</f>
        <v>0</v>
      </c>
      <c r="C8" s="5">
        <f>Engine!H4</f>
        <v>0</v>
      </c>
      <c r="D8" s="7">
        <f>DSO</f>
        <v>0</v>
      </c>
      <c r="E8" s="7">
        <f>DSI</f>
        <v>0</v>
      </c>
      <c r="F8" s="7">
        <f>DPO</f>
        <v>0</v>
      </c>
      <c r="G8" s="5">
        <f>B8 / 365 * D8</f>
        <v>0</v>
      </c>
      <c r="H8" s="5">
        <f>C8 / 365 * E8</f>
        <v>0</v>
      </c>
      <c r="I8" s="5">
        <f>C8 / 365 * F8</f>
        <v>0</v>
      </c>
      <c r="J8" s="5">
        <f>G8 + H8 - I8</f>
        <v>0</v>
      </c>
      <c r="K8" s="5">
        <f>J8 - J7</f>
        <v>0</v>
      </c>
      <c r="L8" s="5">
        <f>Engine!H13</f>
        <v>0</v>
      </c>
      <c r="M8" s="5">
        <f>Engine!H10</f>
        <v>0</v>
      </c>
      <c r="N8" s="5">
        <f>Engine!H9</f>
        <v>0</v>
      </c>
      <c r="O8" s="5">
        <f>L8 + M8 - K8 - N8</f>
        <v>0</v>
      </c>
      <c r="P8" s="5">
        <f>P7 + O8</f>
        <v>0</v>
      </c>
    </row>
    <row r="9" spans="1:16">
      <c r="A9" s="8" t="s">
        <v>60</v>
      </c>
      <c r="B9" s="5">
        <f>Engine!I3</f>
        <v>0</v>
      </c>
      <c r="C9" s="5">
        <f>Engine!I4</f>
        <v>0</v>
      </c>
      <c r="D9" s="7">
        <f>DSO</f>
        <v>0</v>
      </c>
      <c r="E9" s="7">
        <f>DSI</f>
        <v>0</v>
      </c>
      <c r="F9" s="7">
        <f>DPO</f>
        <v>0</v>
      </c>
      <c r="G9" s="5">
        <f>B9 / 365 * D9</f>
        <v>0</v>
      </c>
      <c r="H9" s="5">
        <f>C9 / 365 * E9</f>
        <v>0</v>
      </c>
      <c r="I9" s="5">
        <f>C9 / 365 * F9</f>
        <v>0</v>
      </c>
      <c r="J9" s="5">
        <f>G9 + H9 - I9</f>
        <v>0</v>
      </c>
      <c r="K9" s="5">
        <f>J9 - J8</f>
        <v>0</v>
      </c>
      <c r="L9" s="5">
        <f>Engine!I13</f>
        <v>0</v>
      </c>
      <c r="M9" s="5">
        <f>Engine!I10</f>
        <v>0</v>
      </c>
      <c r="N9" s="5">
        <f>Engine!I9</f>
        <v>0</v>
      </c>
      <c r="O9" s="5">
        <f>L9 + M9 - K9 - N9</f>
        <v>0</v>
      </c>
      <c r="P9" s="5">
        <f>P8 + O9</f>
        <v>0</v>
      </c>
    </row>
    <row r="10" spans="1:16">
      <c r="A10" s="8" t="s">
        <v>61</v>
      </c>
      <c r="B10" s="5">
        <f>Engine!J3</f>
        <v>0</v>
      </c>
      <c r="C10" s="5">
        <f>Engine!J4</f>
        <v>0</v>
      </c>
      <c r="D10" s="7">
        <f>DSO</f>
        <v>0</v>
      </c>
      <c r="E10" s="7">
        <f>DSI</f>
        <v>0</v>
      </c>
      <c r="F10" s="7">
        <f>DPO</f>
        <v>0</v>
      </c>
      <c r="G10" s="5">
        <f>B10 / 365 * D10</f>
        <v>0</v>
      </c>
      <c r="H10" s="5">
        <f>C10 / 365 * E10</f>
        <v>0</v>
      </c>
      <c r="I10" s="5">
        <f>C10 / 365 * F10</f>
        <v>0</v>
      </c>
      <c r="J10" s="5">
        <f>G10 + H10 - I10</f>
        <v>0</v>
      </c>
      <c r="K10" s="5">
        <f>J10 - J9</f>
        <v>0</v>
      </c>
      <c r="L10" s="5">
        <f>Engine!J13</f>
        <v>0</v>
      </c>
      <c r="M10" s="5">
        <f>Engine!J10</f>
        <v>0</v>
      </c>
      <c r="N10" s="5">
        <f>Engine!J9</f>
        <v>0</v>
      </c>
      <c r="O10" s="5">
        <f>L10 + M10 - K10 - N10</f>
        <v>0</v>
      </c>
      <c r="P10" s="5">
        <f>P9 + O10</f>
        <v>0</v>
      </c>
    </row>
    <row r="11" spans="1:16">
      <c r="A11" s="8" t="s">
        <v>62</v>
      </c>
      <c r="B11" s="5">
        <f>Engine!K3</f>
        <v>0</v>
      </c>
      <c r="C11" s="5">
        <f>Engine!K4</f>
        <v>0</v>
      </c>
      <c r="D11" s="7">
        <f>DSO</f>
        <v>0</v>
      </c>
      <c r="E11" s="7">
        <f>DSI</f>
        <v>0</v>
      </c>
      <c r="F11" s="7">
        <f>DPO</f>
        <v>0</v>
      </c>
      <c r="G11" s="5">
        <f>B11 / 365 * D11</f>
        <v>0</v>
      </c>
      <c r="H11" s="5">
        <f>C11 / 365 * E11</f>
        <v>0</v>
      </c>
      <c r="I11" s="5">
        <f>C11 / 365 * F11</f>
        <v>0</v>
      </c>
      <c r="J11" s="5">
        <f>G11 + H11 - I11</f>
        <v>0</v>
      </c>
      <c r="K11" s="5">
        <f>J11 - J10</f>
        <v>0</v>
      </c>
      <c r="L11" s="5">
        <f>Engine!K13</f>
        <v>0</v>
      </c>
      <c r="M11" s="5">
        <f>Engine!K10</f>
        <v>0</v>
      </c>
      <c r="N11" s="5">
        <f>Engine!K9</f>
        <v>0</v>
      </c>
      <c r="O11" s="5">
        <f>L11 + M11 - K11 - N11</f>
        <v>0</v>
      </c>
      <c r="P11" s="5">
        <f>P10 + O11</f>
        <v>0</v>
      </c>
    </row>
    <row r="12" spans="1:16">
      <c r="A12" s="8" t="s">
        <v>63</v>
      </c>
      <c r="B12" s="5">
        <f>Engine!L3</f>
        <v>0</v>
      </c>
      <c r="C12" s="5">
        <f>Engine!L4</f>
        <v>0</v>
      </c>
      <c r="D12" s="7">
        <f>DSO</f>
        <v>0</v>
      </c>
      <c r="E12" s="7">
        <f>DSI</f>
        <v>0</v>
      </c>
      <c r="F12" s="7">
        <f>DPO</f>
        <v>0</v>
      </c>
      <c r="G12" s="5">
        <f>B12 / 365 * D12</f>
        <v>0</v>
      </c>
      <c r="H12" s="5">
        <f>C12 / 365 * E12</f>
        <v>0</v>
      </c>
      <c r="I12" s="5">
        <f>C12 / 365 * F12</f>
        <v>0</v>
      </c>
      <c r="J12" s="5">
        <f>G12 + H12 - I12</f>
        <v>0</v>
      </c>
      <c r="K12" s="5">
        <f>J12 - J11</f>
        <v>0</v>
      </c>
      <c r="L12" s="5">
        <f>Engine!L13</f>
        <v>0</v>
      </c>
      <c r="M12" s="5">
        <f>Engine!L10</f>
        <v>0</v>
      </c>
      <c r="N12" s="5">
        <f>Engine!L9</f>
        <v>0</v>
      </c>
      <c r="O12" s="5">
        <f>L12 + M12 - K12 - N12</f>
        <v>0</v>
      </c>
      <c r="P12" s="5">
        <f>P11 + O12</f>
        <v>0</v>
      </c>
    </row>
    <row r="13" spans="1:16">
      <c r="A13" s="8" t="s">
        <v>64</v>
      </c>
      <c r="B13" s="5">
        <f>Engine!M3</f>
        <v>0</v>
      </c>
      <c r="C13" s="5">
        <f>Engine!M4</f>
        <v>0</v>
      </c>
      <c r="D13" s="7">
        <f>DSO</f>
        <v>0</v>
      </c>
      <c r="E13" s="7">
        <f>DSI</f>
        <v>0</v>
      </c>
      <c r="F13" s="7">
        <f>DPO</f>
        <v>0</v>
      </c>
      <c r="G13" s="5">
        <f>B13 / 365 * D13</f>
        <v>0</v>
      </c>
      <c r="H13" s="5">
        <f>C13 / 365 * E13</f>
        <v>0</v>
      </c>
      <c r="I13" s="5">
        <f>C13 / 365 * F13</f>
        <v>0</v>
      </c>
      <c r="J13" s="5">
        <f>G13 + H13 - I13</f>
        <v>0</v>
      </c>
      <c r="K13" s="5">
        <f>J13 - J12</f>
        <v>0</v>
      </c>
      <c r="L13" s="5">
        <f>Engine!M13</f>
        <v>0</v>
      </c>
      <c r="M13" s="5">
        <f>Engine!M10</f>
        <v>0</v>
      </c>
      <c r="N13" s="5">
        <f>Engine!M9</f>
        <v>0</v>
      </c>
      <c r="O13" s="5">
        <f>L13 + M13 - K13 - N13</f>
        <v>0</v>
      </c>
      <c r="P13" s="5">
        <f>P12 + O13</f>
        <v>0</v>
      </c>
    </row>
    <row r="14" spans="1:16">
      <c r="A14" s="8" t="s">
        <v>65</v>
      </c>
      <c r="B14" s="5">
        <f>Engine!N3</f>
        <v>0</v>
      </c>
      <c r="C14" s="5">
        <f>Engine!N4</f>
        <v>0</v>
      </c>
      <c r="D14" s="7">
        <f>DSO</f>
        <v>0</v>
      </c>
      <c r="E14" s="7">
        <f>DSI</f>
        <v>0</v>
      </c>
      <c r="F14" s="7">
        <f>DPO</f>
        <v>0</v>
      </c>
      <c r="G14" s="5">
        <f>B14 / 365 * D14</f>
        <v>0</v>
      </c>
      <c r="H14" s="5">
        <f>C14 / 365 * E14</f>
        <v>0</v>
      </c>
      <c r="I14" s="5">
        <f>C14 / 365 * F14</f>
        <v>0</v>
      </c>
      <c r="J14" s="5">
        <f>G14 + H14 - I14</f>
        <v>0</v>
      </c>
      <c r="K14" s="5">
        <f>J14 - J13</f>
        <v>0</v>
      </c>
      <c r="L14" s="5">
        <f>Engine!N13</f>
        <v>0</v>
      </c>
      <c r="M14" s="5">
        <f>Engine!N10</f>
        <v>0</v>
      </c>
      <c r="N14" s="5">
        <f>Engine!N9</f>
        <v>0</v>
      </c>
      <c r="O14" s="5">
        <f>L14 + M14 - K14 - N14</f>
        <v>0</v>
      </c>
      <c r="P14" s="5">
        <f>P13 + O14</f>
        <v>0</v>
      </c>
    </row>
    <row r="15" spans="1:16">
      <c r="A15" s="8" t="s">
        <v>66</v>
      </c>
      <c r="B15" s="5">
        <f>Engine!O3</f>
        <v>0</v>
      </c>
      <c r="C15" s="5">
        <f>Engine!O4</f>
        <v>0</v>
      </c>
      <c r="D15" s="7">
        <f>DSO</f>
        <v>0</v>
      </c>
      <c r="E15" s="7">
        <f>DSI</f>
        <v>0</v>
      </c>
      <c r="F15" s="7">
        <f>DPO</f>
        <v>0</v>
      </c>
      <c r="G15" s="5">
        <f>B15 / 365 * D15</f>
        <v>0</v>
      </c>
      <c r="H15" s="5">
        <f>C15 / 365 * E15</f>
        <v>0</v>
      </c>
      <c r="I15" s="5">
        <f>C15 / 365 * F15</f>
        <v>0</v>
      </c>
      <c r="J15" s="5">
        <f>G15 + H15 - I15</f>
        <v>0</v>
      </c>
      <c r="K15" s="5">
        <f>J15 - J14</f>
        <v>0</v>
      </c>
      <c r="L15" s="5">
        <f>Engine!O13</f>
        <v>0</v>
      </c>
      <c r="M15" s="5">
        <f>Engine!O10</f>
        <v>0</v>
      </c>
      <c r="N15" s="5">
        <f>Engine!O9</f>
        <v>0</v>
      </c>
      <c r="O15" s="5">
        <f>L15 + M15 - K15 - N15</f>
        <v>0</v>
      </c>
      <c r="P15" s="5">
        <f>P14 + O15</f>
        <v>0</v>
      </c>
    </row>
    <row r="16" spans="1:16">
      <c r="A16" s="8" t="s">
        <v>67</v>
      </c>
      <c r="B16" s="5">
        <f>Engine!P3</f>
        <v>0</v>
      </c>
      <c r="C16" s="5">
        <f>Engine!P4</f>
        <v>0</v>
      </c>
      <c r="D16" s="7">
        <f>DSO</f>
        <v>0</v>
      </c>
      <c r="E16" s="7">
        <f>DSI</f>
        <v>0</v>
      </c>
      <c r="F16" s="7">
        <f>DPO</f>
        <v>0</v>
      </c>
      <c r="G16" s="5">
        <f>B16 / 365 * D16</f>
        <v>0</v>
      </c>
      <c r="H16" s="5">
        <f>C16 / 365 * E16</f>
        <v>0</v>
      </c>
      <c r="I16" s="5">
        <f>C16 / 365 * F16</f>
        <v>0</v>
      </c>
      <c r="J16" s="5">
        <f>G16 + H16 - I16</f>
        <v>0</v>
      </c>
      <c r="K16" s="5">
        <f>J16 - J15</f>
        <v>0</v>
      </c>
      <c r="L16" s="5">
        <f>Engine!P13</f>
        <v>0</v>
      </c>
      <c r="M16" s="5">
        <f>Engine!P10</f>
        <v>0</v>
      </c>
      <c r="N16" s="5">
        <f>Engine!P9</f>
        <v>0</v>
      </c>
      <c r="O16" s="5">
        <f>L16 + M16 - K16 - N16</f>
        <v>0</v>
      </c>
      <c r="P16" s="5">
        <f>P15 + O16</f>
        <v>0</v>
      </c>
    </row>
    <row r="17" spans="1:16">
      <c r="A17" s="8" t="s">
        <v>68</v>
      </c>
      <c r="B17" s="5">
        <f>Engine!Q3</f>
        <v>0</v>
      </c>
      <c r="C17" s="5">
        <f>Engine!Q4</f>
        <v>0</v>
      </c>
      <c r="D17" s="7">
        <f>DSO</f>
        <v>0</v>
      </c>
      <c r="E17" s="7">
        <f>DSI</f>
        <v>0</v>
      </c>
      <c r="F17" s="7">
        <f>DPO</f>
        <v>0</v>
      </c>
      <c r="G17" s="5">
        <f>B17 / 365 * D17</f>
        <v>0</v>
      </c>
      <c r="H17" s="5">
        <f>C17 / 365 * E17</f>
        <v>0</v>
      </c>
      <c r="I17" s="5">
        <f>C17 / 365 * F17</f>
        <v>0</v>
      </c>
      <c r="J17" s="5">
        <f>G17 + H17 - I17</f>
        <v>0</v>
      </c>
      <c r="K17" s="5">
        <f>J17 - J16</f>
        <v>0</v>
      </c>
      <c r="L17" s="5">
        <f>Engine!Q13</f>
        <v>0</v>
      </c>
      <c r="M17" s="5">
        <f>Engine!Q10</f>
        <v>0</v>
      </c>
      <c r="N17" s="5">
        <f>Engine!Q9</f>
        <v>0</v>
      </c>
      <c r="O17" s="5">
        <f>L17 + M17 - K17 - N17</f>
        <v>0</v>
      </c>
      <c r="P17" s="5">
        <f>P16 + O17</f>
        <v>0</v>
      </c>
    </row>
    <row r="18" spans="1:16">
      <c r="A18" s="8" t="s">
        <v>69</v>
      </c>
      <c r="B18" s="5">
        <f>Engine!R3</f>
        <v>0</v>
      </c>
      <c r="C18" s="5">
        <f>Engine!R4</f>
        <v>0</v>
      </c>
      <c r="D18" s="7">
        <f>DSO</f>
        <v>0</v>
      </c>
      <c r="E18" s="7">
        <f>DSI</f>
        <v>0</v>
      </c>
      <c r="F18" s="7">
        <f>DPO</f>
        <v>0</v>
      </c>
      <c r="G18" s="5">
        <f>B18 / 365 * D18</f>
        <v>0</v>
      </c>
      <c r="H18" s="5">
        <f>C18 / 365 * E18</f>
        <v>0</v>
      </c>
      <c r="I18" s="5">
        <f>C18 / 365 * F18</f>
        <v>0</v>
      </c>
      <c r="J18" s="5">
        <f>G18 + H18 - I18</f>
        <v>0</v>
      </c>
      <c r="K18" s="5">
        <f>J18 - J17</f>
        <v>0</v>
      </c>
      <c r="L18" s="5">
        <f>Engine!R13</f>
        <v>0</v>
      </c>
      <c r="M18" s="5">
        <f>Engine!R10</f>
        <v>0</v>
      </c>
      <c r="N18" s="5">
        <f>Engine!R9</f>
        <v>0</v>
      </c>
      <c r="O18" s="5">
        <f>L18 + M18 - K18 - N18</f>
        <v>0</v>
      </c>
      <c r="P18" s="5">
        <f>P17 + O18</f>
        <v>0</v>
      </c>
    </row>
    <row r="19" spans="1:16">
      <c r="A19" s="8" t="s">
        <v>70</v>
      </c>
      <c r="B19" s="5">
        <f>Engine!S3</f>
        <v>0</v>
      </c>
      <c r="C19" s="5">
        <f>Engine!S4</f>
        <v>0</v>
      </c>
      <c r="D19" s="7">
        <f>DSO</f>
        <v>0</v>
      </c>
      <c r="E19" s="7">
        <f>DSI</f>
        <v>0</v>
      </c>
      <c r="F19" s="7">
        <f>DPO</f>
        <v>0</v>
      </c>
      <c r="G19" s="5">
        <f>B19 / 365 * D19</f>
        <v>0</v>
      </c>
      <c r="H19" s="5">
        <f>C19 / 365 * E19</f>
        <v>0</v>
      </c>
      <c r="I19" s="5">
        <f>C19 / 365 * F19</f>
        <v>0</v>
      </c>
      <c r="J19" s="5">
        <f>G19 + H19 - I19</f>
        <v>0</v>
      </c>
      <c r="K19" s="5">
        <f>J19 - J18</f>
        <v>0</v>
      </c>
      <c r="L19" s="5">
        <f>Engine!S13</f>
        <v>0</v>
      </c>
      <c r="M19" s="5">
        <f>Engine!S10</f>
        <v>0</v>
      </c>
      <c r="N19" s="5">
        <f>Engine!S9</f>
        <v>0</v>
      </c>
      <c r="O19" s="5">
        <f>L19 + M19 - K19 - N19</f>
        <v>0</v>
      </c>
      <c r="P19" s="5">
        <f>P18 + O19</f>
        <v>0</v>
      </c>
    </row>
    <row r="20" spans="1:16">
      <c r="A20" s="8" t="s">
        <v>71</v>
      </c>
      <c r="B20" s="5">
        <f>Engine!T3</f>
        <v>0</v>
      </c>
      <c r="C20" s="5">
        <f>Engine!T4</f>
        <v>0</v>
      </c>
      <c r="D20" s="7">
        <f>DSO</f>
        <v>0</v>
      </c>
      <c r="E20" s="7">
        <f>DSI</f>
        <v>0</v>
      </c>
      <c r="F20" s="7">
        <f>DPO</f>
        <v>0</v>
      </c>
      <c r="G20" s="5">
        <f>B20 / 365 * D20</f>
        <v>0</v>
      </c>
      <c r="H20" s="5">
        <f>C20 / 365 * E20</f>
        <v>0</v>
      </c>
      <c r="I20" s="5">
        <f>C20 / 365 * F20</f>
        <v>0</v>
      </c>
      <c r="J20" s="5">
        <f>G20 + H20 - I20</f>
        <v>0</v>
      </c>
      <c r="K20" s="5">
        <f>J20 - J19</f>
        <v>0</v>
      </c>
      <c r="L20" s="5">
        <f>Engine!T13</f>
        <v>0</v>
      </c>
      <c r="M20" s="5">
        <f>Engine!T10</f>
        <v>0</v>
      </c>
      <c r="N20" s="5">
        <f>Engine!T9</f>
        <v>0</v>
      </c>
      <c r="O20" s="5">
        <f>L20 + M20 - K20 - N20</f>
        <v>0</v>
      </c>
      <c r="P20" s="5">
        <f>P19 + O20</f>
        <v>0</v>
      </c>
    </row>
    <row r="21" spans="1:16">
      <c r="A21" s="8" t="s">
        <v>72</v>
      </c>
      <c r="B21" s="5">
        <f>Engine!U3</f>
        <v>0</v>
      </c>
      <c r="C21" s="5">
        <f>Engine!U4</f>
        <v>0</v>
      </c>
      <c r="D21" s="7">
        <f>DSO</f>
        <v>0</v>
      </c>
      <c r="E21" s="7">
        <f>DSI</f>
        <v>0</v>
      </c>
      <c r="F21" s="7">
        <f>DPO</f>
        <v>0</v>
      </c>
      <c r="G21" s="5">
        <f>B21 / 365 * D21</f>
        <v>0</v>
      </c>
      <c r="H21" s="5">
        <f>C21 / 365 * E21</f>
        <v>0</v>
      </c>
      <c r="I21" s="5">
        <f>C21 / 365 * F21</f>
        <v>0</v>
      </c>
      <c r="J21" s="5">
        <f>G21 + H21 - I21</f>
        <v>0</v>
      </c>
      <c r="K21" s="5">
        <f>J21 - J20</f>
        <v>0</v>
      </c>
      <c r="L21" s="5">
        <f>Engine!U13</f>
        <v>0</v>
      </c>
      <c r="M21" s="5">
        <f>Engine!U10</f>
        <v>0</v>
      </c>
      <c r="N21" s="5">
        <f>Engine!U9</f>
        <v>0</v>
      </c>
      <c r="O21" s="5">
        <f>L21 + M21 - K21 - N21</f>
        <v>0</v>
      </c>
      <c r="P21" s="5">
        <f>P20 + O21</f>
        <v>0</v>
      </c>
    </row>
    <row r="22" spans="1:16">
      <c r="A22" s="8" t="s">
        <v>73</v>
      </c>
      <c r="B22" s="5">
        <f>Engine!V3</f>
        <v>0</v>
      </c>
      <c r="C22" s="5">
        <f>Engine!V4</f>
        <v>0</v>
      </c>
      <c r="D22" s="7">
        <f>DSO</f>
        <v>0</v>
      </c>
      <c r="E22" s="7">
        <f>DSI</f>
        <v>0</v>
      </c>
      <c r="F22" s="7">
        <f>DPO</f>
        <v>0</v>
      </c>
      <c r="G22" s="5">
        <f>B22 / 365 * D22</f>
        <v>0</v>
      </c>
      <c r="H22" s="5">
        <f>C22 / 365 * E22</f>
        <v>0</v>
      </c>
      <c r="I22" s="5">
        <f>C22 / 365 * F22</f>
        <v>0</v>
      </c>
      <c r="J22" s="5">
        <f>G22 + H22 - I22</f>
        <v>0</v>
      </c>
      <c r="K22" s="5">
        <f>J22 - J21</f>
        <v>0</v>
      </c>
      <c r="L22" s="5">
        <f>Engine!V13</f>
        <v>0</v>
      </c>
      <c r="M22" s="5">
        <f>Engine!V10</f>
        <v>0</v>
      </c>
      <c r="N22" s="5">
        <f>Engine!V9</f>
        <v>0</v>
      </c>
      <c r="O22" s="5">
        <f>L22 + M22 - K22 - N22</f>
        <v>0</v>
      </c>
      <c r="P22" s="5">
        <f>P21 + O22</f>
        <v>0</v>
      </c>
    </row>
    <row r="23" spans="1:16">
      <c r="A23" s="8" t="s">
        <v>74</v>
      </c>
      <c r="B23" s="5">
        <f>Engine!W3</f>
        <v>0</v>
      </c>
      <c r="C23" s="5">
        <f>Engine!W4</f>
        <v>0</v>
      </c>
      <c r="D23" s="7">
        <f>DSO</f>
        <v>0</v>
      </c>
      <c r="E23" s="7">
        <f>DSI</f>
        <v>0</v>
      </c>
      <c r="F23" s="7">
        <f>DPO</f>
        <v>0</v>
      </c>
      <c r="G23" s="5">
        <f>B23 / 365 * D23</f>
        <v>0</v>
      </c>
      <c r="H23" s="5">
        <f>C23 / 365 * E23</f>
        <v>0</v>
      </c>
      <c r="I23" s="5">
        <f>C23 / 365 * F23</f>
        <v>0</v>
      </c>
      <c r="J23" s="5">
        <f>G23 + H23 - I23</f>
        <v>0</v>
      </c>
      <c r="K23" s="5">
        <f>J23 - J22</f>
        <v>0</v>
      </c>
      <c r="L23" s="5">
        <f>Engine!W13</f>
        <v>0</v>
      </c>
      <c r="M23" s="5">
        <f>Engine!W10</f>
        <v>0</v>
      </c>
      <c r="N23" s="5">
        <f>Engine!W9</f>
        <v>0</v>
      </c>
      <c r="O23" s="5">
        <f>L23 + M23 - K23 - N23</f>
        <v>0</v>
      </c>
      <c r="P23" s="5">
        <f>P22 + O23</f>
        <v>0</v>
      </c>
    </row>
    <row r="24" spans="1:16">
      <c r="A24" s="8" t="s">
        <v>75</v>
      </c>
      <c r="B24" s="5">
        <f>Engine!X3</f>
        <v>0</v>
      </c>
      <c r="C24" s="5">
        <f>Engine!X4</f>
        <v>0</v>
      </c>
      <c r="D24" s="7">
        <f>DSO</f>
        <v>0</v>
      </c>
      <c r="E24" s="7">
        <f>DSI</f>
        <v>0</v>
      </c>
      <c r="F24" s="7">
        <f>DPO</f>
        <v>0</v>
      </c>
      <c r="G24" s="5">
        <f>B24 / 365 * D24</f>
        <v>0</v>
      </c>
      <c r="H24" s="5">
        <f>C24 / 365 * E24</f>
        <v>0</v>
      </c>
      <c r="I24" s="5">
        <f>C24 / 365 * F24</f>
        <v>0</v>
      </c>
      <c r="J24" s="5">
        <f>G24 + H24 - I24</f>
        <v>0</v>
      </c>
      <c r="K24" s="5">
        <f>J24 - J23</f>
        <v>0</v>
      </c>
      <c r="L24" s="5">
        <f>Engine!X13</f>
        <v>0</v>
      </c>
      <c r="M24" s="5">
        <f>Engine!X10</f>
        <v>0</v>
      </c>
      <c r="N24" s="5">
        <f>Engine!X9</f>
        <v>0</v>
      </c>
      <c r="O24" s="5">
        <f>L24 + M24 - K24 - N24</f>
        <v>0</v>
      </c>
      <c r="P24" s="5">
        <f>P23 + O24</f>
        <v>0</v>
      </c>
    </row>
    <row r="25" spans="1:16">
      <c r="A25" s="8" t="s">
        <v>76</v>
      </c>
      <c r="B25" s="5">
        <f>Engine!Y3</f>
        <v>0</v>
      </c>
      <c r="C25" s="5">
        <f>Engine!Y4</f>
        <v>0</v>
      </c>
      <c r="D25" s="7">
        <f>DSO</f>
        <v>0</v>
      </c>
      <c r="E25" s="7">
        <f>DSI</f>
        <v>0</v>
      </c>
      <c r="F25" s="7">
        <f>DPO</f>
        <v>0</v>
      </c>
      <c r="G25" s="5">
        <f>B25 / 365 * D25</f>
        <v>0</v>
      </c>
      <c r="H25" s="5">
        <f>C25 / 365 * E25</f>
        <v>0</v>
      </c>
      <c r="I25" s="5">
        <f>C25 / 365 * F25</f>
        <v>0</v>
      </c>
      <c r="J25" s="5">
        <f>G25 + H25 - I25</f>
        <v>0</v>
      </c>
      <c r="K25" s="5">
        <f>J25 - J24</f>
        <v>0</v>
      </c>
      <c r="L25" s="5">
        <f>Engine!Y13</f>
        <v>0</v>
      </c>
      <c r="M25" s="5">
        <f>Engine!Y10</f>
        <v>0</v>
      </c>
      <c r="N25" s="5">
        <f>Engine!Y9</f>
        <v>0</v>
      </c>
      <c r="O25" s="5">
        <f>L25 + M25 - K25 - N25</f>
        <v>0</v>
      </c>
      <c r="P25" s="5">
        <f>P24 + O25</f>
        <v>0</v>
      </c>
    </row>
    <row r="26" spans="1:16">
      <c r="A26" s="8" t="s">
        <v>77</v>
      </c>
      <c r="B26" s="5">
        <f>Engine!Z3</f>
        <v>0</v>
      </c>
      <c r="C26" s="5">
        <f>Engine!Z4</f>
        <v>0</v>
      </c>
      <c r="D26" s="7">
        <f>DSO</f>
        <v>0</v>
      </c>
      <c r="E26" s="7">
        <f>DSI</f>
        <v>0</v>
      </c>
      <c r="F26" s="7">
        <f>DPO</f>
        <v>0</v>
      </c>
      <c r="G26" s="5">
        <f>B26 / 365 * D26</f>
        <v>0</v>
      </c>
      <c r="H26" s="5">
        <f>C26 / 365 * E26</f>
        <v>0</v>
      </c>
      <c r="I26" s="5">
        <f>C26 / 365 * F26</f>
        <v>0</v>
      </c>
      <c r="J26" s="5">
        <f>G26 + H26 - I26</f>
        <v>0</v>
      </c>
      <c r="K26" s="5">
        <f>J26 - J25</f>
        <v>0</v>
      </c>
      <c r="L26" s="5">
        <f>Engine!Z13</f>
        <v>0</v>
      </c>
      <c r="M26" s="5">
        <f>Engine!Z10</f>
        <v>0</v>
      </c>
      <c r="N26" s="5">
        <f>Engine!Z9</f>
        <v>0</v>
      </c>
      <c r="O26" s="5">
        <f>L26 + M26 - K26 - N26</f>
        <v>0</v>
      </c>
      <c r="P26" s="5">
        <f>P25 + O26</f>
        <v>0</v>
      </c>
    </row>
    <row r="27" spans="1:16">
      <c r="A27" s="8" t="s">
        <v>78</v>
      </c>
      <c r="B27" s="5">
        <f>Engine!AA3</f>
        <v>0</v>
      </c>
      <c r="C27" s="5">
        <f>Engine!AA4</f>
        <v>0</v>
      </c>
      <c r="D27" s="7">
        <f>DSO</f>
        <v>0</v>
      </c>
      <c r="E27" s="7">
        <f>DSI</f>
        <v>0</v>
      </c>
      <c r="F27" s="7">
        <f>DPO</f>
        <v>0</v>
      </c>
      <c r="G27" s="5">
        <f>B27 / 365 * D27</f>
        <v>0</v>
      </c>
      <c r="H27" s="5">
        <f>C27 / 365 * E27</f>
        <v>0</v>
      </c>
      <c r="I27" s="5">
        <f>C27 / 365 * F27</f>
        <v>0</v>
      </c>
      <c r="J27" s="5">
        <f>G27 + H27 - I27</f>
        <v>0</v>
      </c>
      <c r="K27" s="5">
        <f>J27 - J26</f>
        <v>0</v>
      </c>
      <c r="L27" s="5">
        <f>Engine!AA13</f>
        <v>0</v>
      </c>
      <c r="M27" s="5">
        <f>Engine!AA10</f>
        <v>0</v>
      </c>
      <c r="N27" s="5">
        <f>Engine!AA9</f>
        <v>0</v>
      </c>
      <c r="O27" s="5">
        <f>L27 + M27 - K27 - N27</f>
        <v>0</v>
      </c>
      <c r="P27" s="5">
        <f>P26 + O27</f>
        <v>0</v>
      </c>
    </row>
    <row r="28" spans="1:16">
      <c r="A28" s="8" t="s">
        <v>79</v>
      </c>
      <c r="B28" s="5">
        <f>Engine!AB3</f>
        <v>0</v>
      </c>
      <c r="C28" s="5">
        <f>Engine!AB4</f>
        <v>0</v>
      </c>
      <c r="D28" s="7">
        <f>DSO</f>
        <v>0</v>
      </c>
      <c r="E28" s="7">
        <f>DSI</f>
        <v>0</v>
      </c>
      <c r="F28" s="7">
        <f>DPO</f>
        <v>0</v>
      </c>
      <c r="G28" s="5">
        <f>B28 / 365 * D28</f>
        <v>0</v>
      </c>
      <c r="H28" s="5">
        <f>C28 / 365 * E28</f>
        <v>0</v>
      </c>
      <c r="I28" s="5">
        <f>C28 / 365 * F28</f>
        <v>0</v>
      </c>
      <c r="J28" s="5">
        <f>G28 + H28 - I28</f>
        <v>0</v>
      </c>
      <c r="K28" s="5">
        <f>J28 - J27</f>
        <v>0</v>
      </c>
      <c r="L28" s="5">
        <f>Engine!AB13</f>
        <v>0</v>
      </c>
      <c r="M28" s="5">
        <f>Engine!AB10</f>
        <v>0</v>
      </c>
      <c r="N28" s="5">
        <f>Engine!AB9</f>
        <v>0</v>
      </c>
      <c r="O28" s="5">
        <f>L28 + M28 - K28 - N28</f>
        <v>0</v>
      </c>
      <c r="P28" s="5">
        <f>P27 + O28</f>
        <v>0</v>
      </c>
    </row>
    <row r="29" spans="1:16">
      <c r="A29" s="8" t="s">
        <v>80</v>
      </c>
      <c r="B29" s="5">
        <f>Engine!AC3</f>
        <v>0</v>
      </c>
      <c r="C29" s="5">
        <f>Engine!AC4</f>
        <v>0</v>
      </c>
      <c r="D29" s="7">
        <f>DSO</f>
        <v>0</v>
      </c>
      <c r="E29" s="7">
        <f>DSI</f>
        <v>0</v>
      </c>
      <c r="F29" s="7">
        <f>DPO</f>
        <v>0</v>
      </c>
      <c r="G29" s="5">
        <f>B29 / 365 * D29</f>
        <v>0</v>
      </c>
      <c r="H29" s="5">
        <f>C29 / 365 * E29</f>
        <v>0</v>
      </c>
      <c r="I29" s="5">
        <f>C29 / 365 * F29</f>
        <v>0</v>
      </c>
      <c r="J29" s="5">
        <f>G29 + H29 - I29</f>
        <v>0</v>
      </c>
      <c r="K29" s="5">
        <f>J29 - J28</f>
        <v>0</v>
      </c>
      <c r="L29" s="5">
        <f>Engine!AC13</f>
        <v>0</v>
      </c>
      <c r="M29" s="5">
        <f>Engine!AC10</f>
        <v>0</v>
      </c>
      <c r="N29" s="5">
        <f>Engine!AC9</f>
        <v>0</v>
      </c>
      <c r="O29" s="5">
        <f>L29 + M29 - K29 - N29</f>
        <v>0</v>
      </c>
      <c r="P29" s="5">
        <f>P28 + O29</f>
        <v>0</v>
      </c>
    </row>
    <row r="30" spans="1:16">
      <c r="A30" s="8" t="s">
        <v>81</v>
      </c>
      <c r="B30" s="5">
        <f>Engine!AD3</f>
        <v>0</v>
      </c>
      <c r="C30" s="5">
        <f>Engine!AD4</f>
        <v>0</v>
      </c>
      <c r="D30" s="7">
        <f>DSO</f>
        <v>0</v>
      </c>
      <c r="E30" s="7">
        <f>DSI</f>
        <v>0</v>
      </c>
      <c r="F30" s="7">
        <f>DPO</f>
        <v>0</v>
      </c>
      <c r="G30" s="5">
        <f>B30 / 365 * D30</f>
        <v>0</v>
      </c>
      <c r="H30" s="5">
        <f>C30 / 365 * E30</f>
        <v>0</v>
      </c>
      <c r="I30" s="5">
        <f>C30 / 365 * F30</f>
        <v>0</v>
      </c>
      <c r="J30" s="5">
        <f>G30 + H30 - I30</f>
        <v>0</v>
      </c>
      <c r="K30" s="5">
        <f>J30 - J29</f>
        <v>0</v>
      </c>
      <c r="L30" s="5">
        <f>Engine!AD13</f>
        <v>0</v>
      </c>
      <c r="M30" s="5">
        <f>Engine!AD10</f>
        <v>0</v>
      </c>
      <c r="N30" s="5">
        <f>Engine!AD9</f>
        <v>0</v>
      </c>
      <c r="O30" s="5">
        <f>L30 + M30 - K30 - N30</f>
        <v>0</v>
      </c>
      <c r="P30" s="5">
        <f>P29 + O30</f>
        <v>0</v>
      </c>
    </row>
    <row r="31" spans="1:16">
      <c r="A31" s="8" t="s">
        <v>82</v>
      </c>
      <c r="B31" s="5">
        <f>Engine!AE3</f>
        <v>0</v>
      </c>
      <c r="C31" s="5">
        <f>Engine!AE4</f>
        <v>0</v>
      </c>
      <c r="D31" s="7">
        <f>DSO</f>
        <v>0</v>
      </c>
      <c r="E31" s="7">
        <f>DSI</f>
        <v>0</v>
      </c>
      <c r="F31" s="7">
        <f>DPO</f>
        <v>0</v>
      </c>
      <c r="G31" s="5">
        <f>B31 / 365 * D31</f>
        <v>0</v>
      </c>
      <c r="H31" s="5">
        <f>C31 / 365 * E31</f>
        <v>0</v>
      </c>
      <c r="I31" s="5">
        <f>C31 / 365 * F31</f>
        <v>0</v>
      </c>
      <c r="J31" s="5">
        <f>G31 + H31 - I31</f>
        <v>0</v>
      </c>
      <c r="K31" s="5">
        <f>J31 - J30</f>
        <v>0</v>
      </c>
      <c r="L31" s="5">
        <f>Engine!AE13</f>
        <v>0</v>
      </c>
      <c r="M31" s="5">
        <f>Engine!AE10</f>
        <v>0</v>
      </c>
      <c r="N31" s="5">
        <f>Engine!AE9</f>
        <v>0</v>
      </c>
      <c r="O31" s="5">
        <f>L31 + M31 - K31 - N31</f>
        <v>0</v>
      </c>
      <c r="P31" s="5">
        <f>P30 + O31</f>
        <v>0</v>
      </c>
    </row>
    <row r="32" spans="1:16">
      <c r="A32" s="8" t="s">
        <v>83</v>
      </c>
      <c r="B32" s="5">
        <f>Engine!AF3</f>
        <v>0</v>
      </c>
      <c r="C32" s="5">
        <f>Engine!AF4</f>
        <v>0</v>
      </c>
      <c r="D32" s="7">
        <f>DSO</f>
        <v>0</v>
      </c>
      <c r="E32" s="7">
        <f>DSI</f>
        <v>0</v>
      </c>
      <c r="F32" s="7">
        <f>DPO</f>
        <v>0</v>
      </c>
      <c r="G32" s="5">
        <f>B32 / 365 * D32</f>
        <v>0</v>
      </c>
      <c r="H32" s="5">
        <f>C32 / 365 * E32</f>
        <v>0</v>
      </c>
      <c r="I32" s="5">
        <f>C32 / 365 * F32</f>
        <v>0</v>
      </c>
      <c r="J32" s="5">
        <f>G32 + H32 - I32</f>
        <v>0</v>
      </c>
      <c r="K32" s="5">
        <f>J32 - J31</f>
        <v>0</v>
      </c>
      <c r="L32" s="5">
        <f>Engine!AF13</f>
        <v>0</v>
      </c>
      <c r="M32" s="5">
        <f>Engine!AF10</f>
        <v>0</v>
      </c>
      <c r="N32" s="5">
        <f>Engine!AF9</f>
        <v>0</v>
      </c>
      <c r="O32" s="5">
        <f>L32 + M32 - K32 - N32</f>
        <v>0</v>
      </c>
      <c r="P32" s="5">
        <f>P31 + O32</f>
        <v>0</v>
      </c>
    </row>
    <row r="33" spans="1:16">
      <c r="A33" s="8" t="s">
        <v>84</v>
      </c>
      <c r="B33" s="5">
        <f>Engine!AG3</f>
        <v>0</v>
      </c>
      <c r="C33" s="5">
        <f>Engine!AG4</f>
        <v>0</v>
      </c>
      <c r="D33" s="7">
        <f>DSO</f>
        <v>0</v>
      </c>
      <c r="E33" s="7">
        <f>DSI</f>
        <v>0</v>
      </c>
      <c r="F33" s="7">
        <f>DPO</f>
        <v>0</v>
      </c>
      <c r="G33" s="5">
        <f>B33 / 365 * D33</f>
        <v>0</v>
      </c>
      <c r="H33" s="5">
        <f>C33 / 365 * E33</f>
        <v>0</v>
      </c>
      <c r="I33" s="5">
        <f>C33 / 365 * F33</f>
        <v>0</v>
      </c>
      <c r="J33" s="5">
        <f>G33 + H33 - I33</f>
        <v>0</v>
      </c>
      <c r="K33" s="5">
        <f>J33 - J32</f>
        <v>0</v>
      </c>
      <c r="L33" s="5">
        <f>Engine!AG13</f>
        <v>0</v>
      </c>
      <c r="M33" s="5">
        <f>Engine!AG10</f>
        <v>0</v>
      </c>
      <c r="N33" s="5">
        <f>Engine!AG9</f>
        <v>0</v>
      </c>
      <c r="O33" s="5">
        <f>L33 + M33 - K33 - N33</f>
        <v>0</v>
      </c>
      <c r="P33" s="5">
        <f>P32 + O33</f>
        <v>0</v>
      </c>
    </row>
    <row r="34" spans="1:16">
      <c r="A34" s="8" t="s">
        <v>85</v>
      </c>
      <c r="B34" s="5">
        <f>Engine!AH3</f>
        <v>0</v>
      </c>
      <c r="C34" s="5">
        <f>Engine!AH4</f>
        <v>0</v>
      </c>
      <c r="D34" s="7">
        <f>DSO</f>
        <v>0</v>
      </c>
      <c r="E34" s="7">
        <f>DSI</f>
        <v>0</v>
      </c>
      <c r="F34" s="7">
        <f>DPO</f>
        <v>0</v>
      </c>
      <c r="G34" s="5">
        <f>B34 / 365 * D34</f>
        <v>0</v>
      </c>
      <c r="H34" s="5">
        <f>C34 / 365 * E34</f>
        <v>0</v>
      </c>
      <c r="I34" s="5">
        <f>C34 / 365 * F34</f>
        <v>0</v>
      </c>
      <c r="J34" s="5">
        <f>G34 + H34 - I34</f>
        <v>0</v>
      </c>
      <c r="K34" s="5">
        <f>J34 - J33</f>
        <v>0</v>
      </c>
      <c r="L34" s="5">
        <f>Engine!AH13</f>
        <v>0</v>
      </c>
      <c r="M34" s="5">
        <f>Engine!AH10</f>
        <v>0</v>
      </c>
      <c r="N34" s="5">
        <f>Engine!AH9</f>
        <v>0</v>
      </c>
      <c r="O34" s="5">
        <f>L34 + M34 - K34 - N34</f>
        <v>0</v>
      </c>
      <c r="P34" s="5">
        <f>P33 + O34</f>
        <v>0</v>
      </c>
    </row>
    <row r="35" spans="1:16">
      <c r="A35" s="8" t="s">
        <v>86</v>
      </c>
      <c r="B35" s="5">
        <f>Engine!AI3</f>
        <v>0</v>
      </c>
      <c r="C35" s="5">
        <f>Engine!AI4</f>
        <v>0</v>
      </c>
      <c r="D35" s="7">
        <f>DSO</f>
        <v>0</v>
      </c>
      <c r="E35" s="7">
        <f>DSI</f>
        <v>0</v>
      </c>
      <c r="F35" s="7">
        <f>DPO</f>
        <v>0</v>
      </c>
      <c r="G35" s="5">
        <f>B35 / 365 * D35</f>
        <v>0</v>
      </c>
      <c r="H35" s="5">
        <f>C35 / 365 * E35</f>
        <v>0</v>
      </c>
      <c r="I35" s="5">
        <f>C35 / 365 * F35</f>
        <v>0</v>
      </c>
      <c r="J35" s="5">
        <f>G35 + H35 - I35</f>
        <v>0</v>
      </c>
      <c r="K35" s="5">
        <f>J35 - J34</f>
        <v>0</v>
      </c>
      <c r="L35" s="5">
        <f>Engine!AI13</f>
        <v>0</v>
      </c>
      <c r="M35" s="5">
        <f>Engine!AI10</f>
        <v>0</v>
      </c>
      <c r="N35" s="5">
        <f>Engine!AI9</f>
        <v>0</v>
      </c>
      <c r="O35" s="5">
        <f>L35 + M35 - K35 - N35</f>
        <v>0</v>
      </c>
      <c r="P35" s="5">
        <f>P34 + O35</f>
        <v>0</v>
      </c>
    </row>
    <row r="36" spans="1:16">
      <c r="A36" s="8" t="s">
        <v>87</v>
      </c>
      <c r="B36" s="5">
        <f>Engine!AJ3</f>
        <v>0</v>
      </c>
      <c r="C36" s="5">
        <f>Engine!AJ4</f>
        <v>0</v>
      </c>
      <c r="D36" s="7">
        <f>DSO</f>
        <v>0</v>
      </c>
      <c r="E36" s="7">
        <f>DSI</f>
        <v>0</v>
      </c>
      <c r="F36" s="7">
        <f>DPO</f>
        <v>0</v>
      </c>
      <c r="G36" s="5">
        <f>B36 / 365 * D36</f>
        <v>0</v>
      </c>
      <c r="H36" s="5">
        <f>C36 / 365 * E36</f>
        <v>0</v>
      </c>
      <c r="I36" s="5">
        <f>C36 / 365 * F36</f>
        <v>0</v>
      </c>
      <c r="J36" s="5">
        <f>G36 + H36 - I36</f>
        <v>0</v>
      </c>
      <c r="K36" s="5">
        <f>J36 - J35</f>
        <v>0</v>
      </c>
      <c r="L36" s="5">
        <f>Engine!AJ13</f>
        <v>0</v>
      </c>
      <c r="M36" s="5">
        <f>Engine!AJ10</f>
        <v>0</v>
      </c>
      <c r="N36" s="5">
        <f>Engine!AJ9</f>
        <v>0</v>
      </c>
      <c r="O36" s="5">
        <f>L36 + M36 - K36 - N36</f>
        <v>0</v>
      </c>
      <c r="P36" s="5">
        <f>P35 + O36</f>
        <v>0</v>
      </c>
    </row>
    <row r="37" spans="1:16">
      <c r="A37" s="8" t="s">
        <v>88</v>
      </c>
      <c r="B37" s="5">
        <f>Engine!AK3</f>
        <v>0</v>
      </c>
      <c r="C37" s="5">
        <f>Engine!AK4</f>
        <v>0</v>
      </c>
      <c r="D37" s="7">
        <f>DSO</f>
        <v>0</v>
      </c>
      <c r="E37" s="7">
        <f>DSI</f>
        <v>0</v>
      </c>
      <c r="F37" s="7">
        <f>DPO</f>
        <v>0</v>
      </c>
      <c r="G37" s="5">
        <f>B37 / 365 * D37</f>
        <v>0</v>
      </c>
      <c r="H37" s="5">
        <f>C37 / 365 * E37</f>
        <v>0</v>
      </c>
      <c r="I37" s="5">
        <f>C37 / 365 * F37</f>
        <v>0</v>
      </c>
      <c r="J37" s="5">
        <f>G37 + H37 - I37</f>
        <v>0</v>
      </c>
      <c r="K37" s="5">
        <f>J37 - J36</f>
        <v>0</v>
      </c>
      <c r="L37" s="5">
        <f>Engine!AK13</f>
        <v>0</v>
      </c>
      <c r="M37" s="5">
        <f>Engine!AK10</f>
        <v>0</v>
      </c>
      <c r="N37" s="5">
        <f>Engine!AK9</f>
        <v>0</v>
      </c>
      <c r="O37" s="5">
        <f>L37 + M37 - K37 - N37</f>
        <v>0</v>
      </c>
      <c r="P37" s="5">
        <f>P36 + O37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2" t="s">
        <v>149</v>
      </c>
    </row>
    <row r="3" spans="1:6">
      <c r="A3" s="2" t="s">
        <v>150</v>
      </c>
      <c r="B3" s="6">
        <v>-0.1</v>
      </c>
      <c r="C3" s="6">
        <v>-0.05</v>
      </c>
      <c r="D3" s="6">
        <v>0</v>
      </c>
      <c r="E3" s="6">
        <v>0.05</v>
      </c>
      <c r="F3" s="6">
        <v>0.1</v>
      </c>
    </row>
    <row r="4" spans="1:6">
      <c r="A4" s="6">
        <v>-0.1</v>
      </c>
      <c r="B4" s="5">
        <f>SUM(Engine!3:3) * (1+$A4) * (1+B$3)</f>
        <v>0</v>
      </c>
      <c r="C4" s="5">
        <f>SUM(Engine!3:3) * (1+$A4) * (1+C$3)</f>
        <v>0</v>
      </c>
      <c r="D4" s="5">
        <f>SUM(Engine!3:3) * (1+$A4) * (1+D$3)</f>
        <v>0</v>
      </c>
      <c r="E4" s="5">
        <f>SUM(Engine!3:3) * (1+$A4) * (1+E$3)</f>
        <v>0</v>
      </c>
      <c r="F4" s="5">
        <f>SUM(Engine!3:3) * (1+$A4) * (1+F$3)</f>
        <v>0</v>
      </c>
    </row>
    <row r="5" spans="1:6">
      <c r="A5" s="6">
        <v>-0.05</v>
      </c>
      <c r="B5" s="5">
        <f>SUM(Engine!3:3) * (1+$A5) * (1+B$3)</f>
        <v>0</v>
      </c>
      <c r="C5" s="5">
        <f>SUM(Engine!3:3) * (1+$A5) * (1+C$3)</f>
        <v>0</v>
      </c>
      <c r="D5" s="5">
        <f>SUM(Engine!3:3) * (1+$A5) * (1+D$3)</f>
        <v>0</v>
      </c>
      <c r="E5" s="5">
        <f>SUM(Engine!3:3) * (1+$A5) * (1+E$3)</f>
        <v>0</v>
      </c>
      <c r="F5" s="5">
        <f>SUM(Engine!3:3) * (1+$A5) * (1+F$3)</f>
        <v>0</v>
      </c>
    </row>
    <row r="6" spans="1:6">
      <c r="A6" s="6">
        <v>0</v>
      </c>
      <c r="B6" s="5">
        <f>SUM(Engine!3:3) * (1+$A6) * (1+B$3)</f>
        <v>0</v>
      </c>
      <c r="C6" s="5">
        <f>SUM(Engine!3:3) * (1+$A6) * (1+C$3)</f>
        <v>0</v>
      </c>
      <c r="D6" s="5">
        <f>SUM(Engine!3:3) * (1+$A6) * (1+D$3)</f>
        <v>0</v>
      </c>
      <c r="E6" s="5">
        <f>SUM(Engine!3:3) * (1+$A6) * (1+E$3)</f>
        <v>0</v>
      </c>
      <c r="F6" s="5">
        <f>SUM(Engine!3:3) * (1+$A6) * (1+F$3)</f>
        <v>0</v>
      </c>
    </row>
    <row r="7" spans="1:6">
      <c r="A7" s="6">
        <v>0.05</v>
      </c>
      <c r="B7" s="5">
        <f>SUM(Engine!3:3) * (1+$A7) * (1+B$3)</f>
        <v>0</v>
      </c>
      <c r="C7" s="5">
        <f>SUM(Engine!3:3) * (1+$A7) * (1+C$3)</f>
        <v>0</v>
      </c>
      <c r="D7" s="5">
        <f>SUM(Engine!3:3) * (1+$A7) * (1+D$3)</f>
        <v>0</v>
      </c>
      <c r="E7" s="5">
        <f>SUM(Engine!3:3) * (1+$A7) * (1+E$3)</f>
        <v>0</v>
      </c>
      <c r="F7" s="5">
        <f>SUM(Engine!3:3) * (1+$A7) * (1+F$3)</f>
        <v>0</v>
      </c>
    </row>
    <row r="8" spans="1:6">
      <c r="A8" s="6">
        <v>0.1</v>
      </c>
      <c r="B8" s="5">
        <f>SUM(Engine!3:3) * (1+$A8) * (1+B$3)</f>
        <v>0</v>
      </c>
      <c r="C8" s="5">
        <f>SUM(Engine!3:3) * (1+$A8) * (1+C$3)</f>
        <v>0</v>
      </c>
      <c r="D8" s="5">
        <f>SUM(Engine!3:3) * (1+$A8) * (1+D$3)</f>
        <v>0</v>
      </c>
      <c r="E8" s="5">
        <f>SUM(Engine!3:3) * (1+$A8) * (1+E$3)</f>
        <v>0</v>
      </c>
      <c r="F8" s="5">
        <f>SUM(Engine!3:3) * (1+$A8) * (1+F$3)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2" t="s">
        <v>151</v>
      </c>
      <c r="B1" s="2" t="s">
        <v>152</v>
      </c>
    </row>
    <row r="2" spans="1:2">
      <c r="A2" s="3" t="s">
        <v>153</v>
      </c>
      <c r="B2">
        <f>MIN(Working_Capital!P:P) &gt; 0</f>
        <v>0</v>
      </c>
    </row>
    <row r="3" spans="1:2">
      <c r="A3" s="3" t="s">
        <v>154</v>
      </c>
      <c r="B3">
        <f>SUM(Engine!3:3) &gt; 0</f>
        <v>0</v>
      </c>
    </row>
    <row r="4" spans="1:2">
      <c r="A4" s="3" t="s">
        <v>155</v>
      </c>
      <c r="B4">
        <f>"Assets = Liab + Equity"</f>
        <v>0</v>
      </c>
    </row>
    <row r="5" spans="1:2">
      <c r="A5" s="3" t="s">
        <v>156</v>
      </c>
      <c r="B5">
        <f>SUM(IF(ISERROR(Engine!A1:Z100),1,0)) = 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19</vt:i4>
      </vt:variant>
    </vt:vector>
  </HeadingPairs>
  <TitlesOfParts>
    <vt:vector size="26" baseType="lpstr">
      <vt:lpstr>Inputs</vt:lpstr>
      <vt:lpstr>Scenario_Table</vt:lpstr>
      <vt:lpstr>Depreciation_Sched</vt:lpstr>
      <vt:lpstr>Engine</vt:lpstr>
      <vt:lpstr>Working_Capital</vt:lpstr>
      <vt:lpstr>Sensitivity</vt:lpstr>
      <vt:lpstr>Checks</vt:lpstr>
      <vt:lpstr>AvgSalary</vt:lpstr>
      <vt:lpstr>BaseRevenue</vt:lpstr>
      <vt:lpstr>COGS_Pct</vt:lpstr>
      <vt:lpstr>DeprStream</vt:lpstr>
      <vt:lpstr>DPO</vt:lpstr>
      <vt:lpstr>DSI</vt:lpstr>
      <vt:lpstr>DSO</vt:lpstr>
      <vt:lpstr>FixedOpEx</vt:lpstr>
      <vt:lpstr>HC_Start</vt:lpstr>
      <vt:lpstr>HiringRate</vt:lpstr>
      <vt:lpstr>InitCash</vt:lpstr>
      <vt:lpstr>OpExVarPct</vt:lpstr>
      <vt:lpstr>PriceGrowth</vt:lpstr>
      <vt:lpstr>Scenario_Table</vt:lpstr>
      <vt:lpstr>ScenarioSelector</vt:lpstr>
      <vt:lpstr>Seasonality</vt:lpstr>
      <vt:lpstr>TaxRate</vt:lpstr>
      <vt:lpstr>UsefulLife</vt:lpstr>
      <vt:lpstr>VolGrowth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2025-12-11T17:48:26Z</dcterms:created>
  <dcterms:modified xsi:type="dcterms:W3CDTF">2025-12-11T17:48:26Z</dcterms:modified>
</cp:coreProperties>
</file>